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ción y Auditoría" sheetId="1" r:id="rId1"/>
    <sheet name="Detalle Facturas" sheetId="2" r:id="rId2"/>
    <sheet name="Analitica y Graficas" sheetId="3" r:id="rId3"/>
  </sheets>
  <definedNames>
    <definedName name="_xlnm.Print_Area" localSheetId="0">'Conciliación y Auditoría'!$B$2:$K$92</definedName>
    <definedName name="_xlnm.Print_Area" localSheetId="1">'Detalle Facturas'!$B$2:$H$86</definedName>
    <definedName name="_xlnm.Print_Titles" localSheetId="0">'Conciliación y Auditoría'!$9:$9</definedName>
    <definedName name="_xlnm.Print_Titles" localSheetId="1">'Detalle Facturas'!$6:$6</definedName>
  </definedNames>
  <calcPr calcId="124519" fullCalcOnLoad="1"/>
</workbook>
</file>

<file path=xl/sharedStrings.xml><?xml version="1.0" encoding="utf-8"?>
<sst xmlns="http://schemas.openxmlformats.org/spreadsheetml/2006/main" count="925" uniqueCount="396">
  <si>
    <t xml:space="preserve"> INFORME EJECUTIVO: CONCILIACIÓN DE CLIENTES DE RUTA (PETÉN)</t>
  </si>
  <si>
    <t xml:space="preserve"> Auditoría de seguimiento comercial: Cartera asignada a Erick Juárez desde Folio 809 (Enero - Junio)</t>
  </si>
  <si>
    <t>TOTAL CLIENTES AUDITADOS</t>
  </si>
  <si>
    <t>ACTIVOS (CON VENTA REGISTRADA)</t>
  </si>
  <si>
    <t>34 (65.4%)</t>
  </si>
  <si>
    <t>PENDIENTES DE VISITA / SIN VENTA</t>
  </si>
  <si>
    <t>18 (34.6%)</t>
  </si>
  <si>
    <t>FACTURACIÓN TOTAL ERICK JUÁREZ</t>
  </si>
  <si>
    <t>TOTAL FACTURAS PROCESADAS</t>
  </si>
  <si>
    <t>79 Facturas</t>
  </si>
  <si>
    <t>No.</t>
  </si>
  <si>
    <t>Cliente según Libreta</t>
  </si>
  <si>
    <t>Ubicación / Municipio</t>
  </si>
  <si>
    <t>Periodo Libreta</t>
  </si>
  <si>
    <t>Estado de Gestión</t>
  </si>
  <si>
    <t>Facturas</t>
  </si>
  <si>
    <t>Facturado Erick (Q)</t>
  </si>
  <si>
    <t>Folios Registrados</t>
  </si>
  <si>
    <t>Vendedor Asignado</t>
  </si>
  <si>
    <t>Diagnóstico y Recomendación Comercial</t>
  </si>
  <si>
    <t>Hector Mendoza</t>
  </si>
  <si>
    <t>El Remate</t>
  </si>
  <si>
    <t>Enero</t>
  </si>
  <si>
    <t>ACTIVO (CON VENTA)</t>
  </si>
  <si>
    <t>919, 1177</t>
  </si>
  <si>
    <t>Erick Juárez</t>
  </si>
  <si>
    <t>Atención comercial efectiva registrada bajo Agroveterinaria La Mascota (Aldea El Remate, Flores Petén).</t>
  </si>
  <si>
    <t>Eider Guerra (Elder)</t>
  </si>
  <si>
    <t>El Zapote / Ixlu</t>
  </si>
  <si>
    <t>Enero / Feb</t>
  </si>
  <si>
    <t>PENDIENTE DE VISITA</t>
  </si>
  <si>
    <t>Sin compras</t>
  </si>
  <si>
    <t>Por coordinar</t>
  </si>
  <si>
    <t>Sin historial de facturación en Ixlú/El Zapote. Requiere visita comercial de prospección.</t>
  </si>
  <si>
    <t>Marlon Garrido (Mailon)</t>
  </si>
  <si>
    <t>El Caoba</t>
  </si>
  <si>
    <t>918, 1035</t>
  </si>
  <si>
    <t>Atención comercial efectiva bajo razón social Agroveterinaria El Sembrador en El Caoba.</t>
  </si>
  <si>
    <t>Cesar Lopez</t>
  </si>
  <si>
    <t>San Benito</t>
  </si>
  <si>
    <t>888, 1010, 1140</t>
  </si>
  <si>
    <t>Cuenta activa con recompras consistentes (Agroveterinaria El Amigo / César López).</t>
  </si>
  <si>
    <t>Iris Reyes</t>
  </si>
  <si>
    <t>Santa Elena</t>
  </si>
  <si>
    <t>1032, 1048</t>
  </si>
  <si>
    <t>Cuenta de alto volumen atendida oportunamente (Agroveterinaria Alexa / Iris Reyes).</t>
  </si>
  <si>
    <t>Wilman Chonay</t>
  </si>
  <si>
    <t>Dolores</t>
  </si>
  <si>
    <t>Enero / Feb / Mar</t>
  </si>
  <si>
    <t>824, 960, 1097</t>
  </si>
  <si>
    <t>Seguimiento recurrente confirmado mes a mes (Agropecuaria Chonay).</t>
  </si>
  <si>
    <t>Lidia Felipe Rashel</t>
  </si>
  <si>
    <t>Dolores (Calzada Mopán)</t>
  </si>
  <si>
    <t>Enero / Mar</t>
  </si>
  <si>
    <t>881, 935, 1056</t>
  </si>
  <si>
    <t>Registra pedidos periódicos despachados por Erick Juárez en Calzada Mopán.</t>
  </si>
  <si>
    <t>Luis Espina</t>
  </si>
  <si>
    <t>Poptun</t>
  </si>
  <si>
    <t>Sin órdenes generadas. Programar visita prioritaria en la ruta de Poptún.</t>
  </si>
  <si>
    <t>Geovany Hernandez</t>
  </si>
  <si>
    <t>820</t>
  </si>
  <si>
    <t>Venta documentada exitosamente (Agroventas El Cordero).</t>
  </si>
  <si>
    <t>Erick Hernandez</t>
  </si>
  <si>
    <t>Ixlu</t>
  </si>
  <si>
    <t>1037, 1093</t>
  </si>
  <si>
    <t>Atención comercial al día con pedidos registrados bajo Efinagro.</t>
  </si>
  <si>
    <t>Fredy Vicente</t>
  </si>
  <si>
    <t>Santa Ana</t>
  </si>
  <si>
    <t>814, 1063, 1132</t>
  </si>
  <si>
    <t>Uno de los clientes clave de la ruta con excelente nivel de facturación.</t>
  </si>
  <si>
    <t>Hever Tello (Eber Bello)</t>
  </si>
  <si>
    <t>San Francisco</t>
  </si>
  <si>
    <t>1053</t>
  </si>
  <si>
    <t>Venta efectiva registrada en San Francisco Petén.</t>
  </si>
  <si>
    <t>Rony Vicente</t>
  </si>
  <si>
    <t>821, 1071, 1072, 1079</t>
  </si>
  <si>
    <t>Cliente preferencial de alto rendimiento comercial (Agros. El Sembrador Santa Elena).</t>
  </si>
  <si>
    <t>Leonidas Giron</t>
  </si>
  <si>
    <t>Mopan Dolores</t>
  </si>
  <si>
    <t>Sin compras registradas desde el folio 809. Requiere visita de reactivación.</t>
  </si>
  <si>
    <t>Eliel Betancourt</t>
  </si>
  <si>
    <t>Sayaxche / Chacte</t>
  </si>
  <si>
    <t>809, 813, 862, 966, 980, 1098</t>
  </si>
  <si>
    <t>Excelente seguimiento y alta fidelización comercial (Agroveterinaria La Cumbre).</t>
  </si>
  <si>
    <t>Israel España (Angel España)</t>
  </si>
  <si>
    <t>El Chal</t>
  </si>
  <si>
    <t>817, 1077</t>
  </si>
  <si>
    <t>Atención comercial constante y pedidos activos (Agro El Chal).</t>
  </si>
  <si>
    <t>Walter Molina</t>
  </si>
  <si>
    <t>Sin órdenes de compra registradas. Programar visita en el próximo itinerario de El Chal.</t>
  </si>
  <si>
    <t>Hugo Sutuj</t>
  </si>
  <si>
    <t>815, 823, 924, 1070, 1105, 1112</t>
  </si>
  <si>
    <t>Cliente estratégico con 6 pedidos recurrentes atendidos por Erick (Agro El Corral).</t>
  </si>
  <si>
    <t>Hary Campos</t>
  </si>
  <si>
    <t>1085</t>
  </si>
  <si>
    <t>Seguimiento efectivo confirmado en Agroveterinaria El Rejo en El Chal.</t>
  </si>
  <si>
    <t>Ervin Hernandez</t>
  </si>
  <si>
    <t>Sacpuy San Andres</t>
  </si>
  <si>
    <t>1024</t>
  </si>
  <si>
    <t>Venta efectiva documentada (Agroveterinaria El Futuro H2O / Erlin Hernández).</t>
  </si>
  <si>
    <t>Ermides Recinos</t>
  </si>
  <si>
    <t>El Naranjo La Libertad</t>
  </si>
  <si>
    <t>901, 1012</t>
  </si>
  <si>
    <t>Cobertura exitosa en zona fronteriza (Agro. Norte en El Naranjo).</t>
  </si>
  <si>
    <t>Sherlina Marroquin</t>
  </si>
  <si>
    <t>825, 1135</t>
  </si>
  <si>
    <t>Recompras verificadas y activas en Agro. Sherlina en Santa Ana.</t>
  </si>
  <si>
    <t>Eber de Leon</t>
  </si>
  <si>
    <t>Las Cruces Peten</t>
  </si>
  <si>
    <t>Sin órdenes registradas en Las Cruces. Agendar visita técnica comercial.</t>
  </si>
  <si>
    <t>Jose Elias Polanco</t>
  </si>
  <si>
    <t>San Luis</t>
  </si>
  <si>
    <t>Sin ventas en el periodo auditado. Validar existencia de punto de venta en San Luis.</t>
  </si>
  <si>
    <t>Cesar Noyola</t>
  </si>
  <si>
    <t>Aldea La Maquina</t>
  </si>
  <si>
    <t>Febrero</t>
  </si>
  <si>
    <t>914</t>
  </si>
  <si>
    <t>Atención comercial concretada en Agroveterinaria La Cosecha (Aldea La Máquina).</t>
  </si>
  <si>
    <t>Brenda Duarte</t>
  </si>
  <si>
    <t>Cruce dos Aguadas San Andres</t>
  </si>
  <si>
    <t>928, 961, 977, 1044, 1099, 1114</t>
  </si>
  <si>
    <t>Alto nivel de recompra y seguimiento constante (Agroveterinaria Los 3 Hermanos).</t>
  </si>
  <si>
    <t>Eliberto Cortez (Wilder Cortez)</t>
  </si>
  <si>
    <t>842, 927, 1120, 1121</t>
  </si>
  <si>
    <t>Cuenta prioritaria con excelente facturación (Agroveterinaria El Éxito Sacpuy).</t>
  </si>
  <si>
    <t>Jose Alejandro Ordoñez</t>
  </si>
  <si>
    <t>985</t>
  </si>
  <si>
    <t>Venta efectiva confirmada en Comercializadora y Agro. El Agricultor en San Luis.</t>
  </si>
  <si>
    <t>Wilder Lemus</t>
  </si>
  <si>
    <t>1161</t>
  </si>
  <si>
    <t>Cuenta de alto volumen con 3 compras registradas (Agroveterinaria DR, Cruce Dos Aguadas).</t>
  </si>
  <si>
    <t>David de Jesus</t>
  </si>
  <si>
    <t>San Luis Peten</t>
  </si>
  <si>
    <t>Sin transacciones registradas en San Luis Petén.</t>
  </si>
  <si>
    <t>Fernando Valdez</t>
  </si>
  <si>
    <t>Febrero / Mar</t>
  </si>
  <si>
    <t>Sin registro de compra en los periodos de Febrero y Marzo. Programar visita.</t>
  </si>
  <si>
    <t>Mildred Salazar</t>
  </si>
  <si>
    <t>La Libertad</t>
  </si>
  <si>
    <t>Sin órdenes de compra registradas en La Libertad.</t>
  </si>
  <si>
    <t>Noe Garcia</t>
  </si>
  <si>
    <t>899, 1031, 1049</t>
  </si>
  <si>
    <t>Recompras consecutivas atendidas por Erick (Agropecuaria Santa Elena / El Chal).</t>
  </si>
  <si>
    <t>Elio Arreaza</t>
  </si>
  <si>
    <t>Marzo</t>
  </si>
  <si>
    <t>827, 972, 1101</t>
  </si>
  <si>
    <t>Excelente seguimiento y relación comercial continua (Agro. El Potro en Poptún).</t>
  </si>
  <si>
    <t>Sara Ipiña</t>
  </si>
  <si>
    <t>Chacalte San Luis</t>
  </si>
  <si>
    <t>868</t>
  </si>
  <si>
    <t>Venta efectiva registrada bajo Ferroagro Morales / Sara Ipiña en Chacalté.</t>
  </si>
  <si>
    <t>Edwin Hernandez</t>
  </si>
  <si>
    <t>Sin compras registradas a la fecha en San Luis Petén.</t>
  </si>
  <si>
    <t>Luis Carranza</t>
  </si>
  <si>
    <t>822</t>
  </si>
  <si>
    <t>Venta directa concretada en Agroveterinaria El Ganadero en Dolores.</t>
  </si>
  <si>
    <t>Edwin Lopez</t>
  </si>
  <si>
    <t>Sabaneta Dolores</t>
  </si>
  <si>
    <t>855, 872</t>
  </si>
  <si>
    <t>Dos compras registradas con éxito (Agrocomercializadora El Campesino Sabanetas).</t>
  </si>
  <si>
    <t>Jose Antonio Nufio</t>
  </si>
  <si>
    <t>San Andres</t>
  </si>
  <si>
    <t>Marzo / Abril</t>
  </si>
  <si>
    <t>Registrado en catálogo (Agro. El Canche en San Andrés), sin facturas emitidas en el periodo.</t>
  </si>
  <si>
    <t>Julio Morales</t>
  </si>
  <si>
    <t>Paxcaman</t>
  </si>
  <si>
    <t>856</t>
  </si>
  <si>
    <t>Atención comercial efectiva bajo Ferroagro Paxcaman en aldea Paxcaman, Flores Petén.</t>
  </si>
  <si>
    <t>Nery Paredes</t>
  </si>
  <si>
    <t>El Mango / Santa Ana</t>
  </si>
  <si>
    <t>1074</t>
  </si>
  <si>
    <t>Venta documentada al día en Agroservicio El Campesino (Aldea El Mango, Santa Ana).</t>
  </si>
  <si>
    <t>Mariela Salguero</t>
  </si>
  <si>
    <t>Sin registro de ventas en San Luis Petén durante el periodo auditado.</t>
  </si>
  <si>
    <t>Marvin Reyes</t>
  </si>
  <si>
    <t>857, 906</t>
  </si>
  <si>
    <t>Recompras consecutivas atendidas por Erick en Agroveterinaria Eben-Ezer (Santa Elena).</t>
  </si>
  <si>
    <t>Yeimy Catalan</t>
  </si>
  <si>
    <t>San Andres Dos Aguadas</t>
  </si>
  <si>
    <t>Abril</t>
  </si>
  <si>
    <t>913, 1043, 1174</t>
  </si>
  <si>
    <t>Excelente nivel de facturación en Agroveterinaria DR (Cruce Dos Aguadas San Andrés).</t>
  </si>
  <si>
    <t>Daniel Luis (Agro Rural)</t>
  </si>
  <si>
    <t>Registrado en catálogo (Agro. Rural / Daniel Luis en Ave. Telgua Santa Elena) sin compras en periodo.</t>
  </si>
  <si>
    <t>Maria Izabel</t>
  </si>
  <si>
    <t>Sin órdenes de compra registradas en San Luis Petén.</t>
  </si>
  <si>
    <t>Jorlin Ipiña</t>
  </si>
  <si>
    <t>Mayo</t>
  </si>
  <si>
    <t>Sin compras individuales</t>
  </si>
  <si>
    <t>Vinculado a Ferroagro Morales / Sara Ipiña en Chacalté. Sin facturación individual emitida.</t>
  </si>
  <si>
    <t>David Monroy</t>
  </si>
  <si>
    <t>Sin órdenes de compra registradas en San Luis Petén durante el periodo auditado.</t>
  </si>
  <si>
    <t>Angel Hidalgo</t>
  </si>
  <si>
    <t>Sin historial de compra registrado en El Chal. Programar visita de prospección comercial.</t>
  </si>
  <si>
    <t>Byron Escobar</t>
  </si>
  <si>
    <t>1015</t>
  </si>
  <si>
    <t>Venta efectiva concretada en Agroveterinaria Escobar (Aldea Boca del Monte, Dolores Petén).</t>
  </si>
  <si>
    <t>Yamileth Lopez</t>
  </si>
  <si>
    <t>Macanche Flores</t>
  </si>
  <si>
    <t>Junio</t>
  </si>
  <si>
    <t>Sin registro de ventas en Macanché, Flores Petén.</t>
  </si>
  <si>
    <t>Jaime Sagastume</t>
  </si>
  <si>
    <t>818, 940</t>
  </si>
  <si>
    <t>Seguimiento comercial al día y dos compras registradas en Agroveterinaria Los Amigos (El Chal).</t>
  </si>
  <si>
    <t>TOTAL</t>
  </si>
  <si>
    <t>52 Clientes Auditados</t>
  </si>
  <si>
    <t>34 Activos / 18 Pend.</t>
  </si>
  <si>
    <t xml:space="preserve"> DETALLE DE FACTURAS EMITIDAS POR ERICK JUÁREZ</t>
  </si>
  <si>
    <t xml:space="preserve"> Relación completa de 79 comprobantes fiscales emitidos a la cartera asignada (Folio 809 en adelante)</t>
  </si>
  <si>
    <t>Folio</t>
  </si>
  <si>
    <t>Fecha</t>
  </si>
  <si>
    <t>Cliente Libreta</t>
  </si>
  <si>
    <t>Cliente Facturado (Razón Social)</t>
  </si>
  <si>
    <t>Municipio / Zona</t>
  </si>
  <si>
    <t>Total Factura (Q)</t>
  </si>
  <si>
    <t>Vendedor Responsable</t>
  </si>
  <si>
    <t>809</t>
  </si>
  <si>
    <t>2026-06-14</t>
  </si>
  <si>
    <t>Eliel Betancourt  - Agroveterinaria La cumbre</t>
  </si>
  <si>
    <t>813</t>
  </si>
  <si>
    <t>2026-06-15</t>
  </si>
  <si>
    <t>Erick Betancourt - Erick Betancourt</t>
  </si>
  <si>
    <t>814</t>
  </si>
  <si>
    <t>Fredy Vicente - Agroveterinaria Vicente</t>
  </si>
  <si>
    <t>815</t>
  </si>
  <si>
    <t>Hugo Sutuj - Agro El Corral</t>
  </si>
  <si>
    <t>817</t>
  </si>
  <si>
    <t>Angel España - Agro El Chal</t>
  </si>
  <si>
    <t>818</t>
  </si>
  <si>
    <t>Jaime Sagastume - Agro Los amigos</t>
  </si>
  <si>
    <t>2026-06-16</t>
  </si>
  <si>
    <t>Geovani Hernández - Agrovtas. El cordero</t>
  </si>
  <si>
    <t>821</t>
  </si>
  <si>
    <t>2026-06-17</t>
  </si>
  <si>
    <t>Rony Vicente - Agros. El sembrador</t>
  </si>
  <si>
    <t>Luis Carranza - Agroveterinaria El Ganadero</t>
  </si>
  <si>
    <t>823</t>
  </si>
  <si>
    <t>824</t>
  </si>
  <si>
    <t>Wilman Chonay - Agro Chonay</t>
  </si>
  <si>
    <t>825</t>
  </si>
  <si>
    <t>SHERLINA MARROQUÍN - Agro. Sherlina</t>
  </si>
  <si>
    <t>827</t>
  </si>
  <si>
    <t>2026-06-18</t>
  </si>
  <si>
    <t>Elio Arreaza - Agro. El potro</t>
  </si>
  <si>
    <t>842</t>
  </si>
  <si>
    <t>2026-06-23</t>
  </si>
  <si>
    <t>Wilder Joel Cortez Jiménez - Agriveteria el éxito</t>
  </si>
  <si>
    <t>855</t>
  </si>
  <si>
    <t>2026-06-25</t>
  </si>
  <si>
    <t>Edwin López - Agrocomercializadora el campesino</t>
  </si>
  <si>
    <t>Julio Moralez - Ferroagro Paxcaman</t>
  </si>
  <si>
    <t>857</t>
  </si>
  <si>
    <t>Marvin Reyes - Agriveteria Eben-Ezer</t>
  </si>
  <si>
    <t>862</t>
  </si>
  <si>
    <t>2026-06-26</t>
  </si>
  <si>
    <t>David Anselmo Sucup Betancourt - David Anselmo Sucup Betancourt</t>
  </si>
  <si>
    <t>2026-07-01</t>
  </si>
  <si>
    <t>Sara Ipiña - Ferroagro morales</t>
  </si>
  <si>
    <t>872</t>
  </si>
  <si>
    <t>881</t>
  </si>
  <si>
    <t>2026-07-03</t>
  </si>
  <si>
    <t>Felipe Contreras - Agropecuaria Mardoqueo</t>
  </si>
  <si>
    <t>888</t>
  </si>
  <si>
    <t>Agroveterinaria el amigo - César López</t>
  </si>
  <si>
    <t>899</t>
  </si>
  <si>
    <t>2026-07-10</t>
  </si>
  <si>
    <t>Geovany Noe García López - Agropecuaria Santa Elena</t>
  </si>
  <si>
    <t>901</t>
  </si>
  <si>
    <t>Ermides Gamaliel Recinos Mazariegos - Agronorte</t>
  </si>
  <si>
    <t>906</t>
  </si>
  <si>
    <t>2026-07-13</t>
  </si>
  <si>
    <t>913</t>
  </si>
  <si>
    <t>2026-07-14</t>
  </si>
  <si>
    <t>Yeimy Catalán - Agroveterinaria DR</t>
  </si>
  <si>
    <t>César Noyola - Agroveterinaria la Cosecha</t>
  </si>
  <si>
    <t>918</t>
  </si>
  <si>
    <t>2026-07-15</t>
  </si>
  <si>
    <t>Marlon Ninrod Garrido Fajardo - Agroveterinaria el Sembrador</t>
  </si>
  <si>
    <t>919</t>
  </si>
  <si>
    <t>Yoni Orlando Mateo Carias - Agroveterinaria La Mascota</t>
  </si>
  <si>
    <t>924</t>
  </si>
  <si>
    <t>2026-07-17</t>
  </si>
  <si>
    <t>Rosy Calderòn - Agroveterinaria el Corral</t>
  </si>
  <si>
    <t>927</t>
  </si>
  <si>
    <t>928</t>
  </si>
  <si>
    <t>Brenda Duarte - Agroveterinaria los 3 hermanos</t>
  </si>
  <si>
    <t>935</t>
  </si>
  <si>
    <t>2026-07-20</t>
  </si>
  <si>
    <t>Felipe Tuch - Agroveterinaria san Cristóbal</t>
  </si>
  <si>
    <t>940</t>
  </si>
  <si>
    <t>2026-07-21</t>
  </si>
  <si>
    <t>Jaime Sagastume - Agroveterinaria los amigos</t>
  </si>
  <si>
    <t>960</t>
  </si>
  <si>
    <t>2026-07-27</t>
  </si>
  <si>
    <t>961</t>
  </si>
  <si>
    <t>José Medrano - Finca los 3 hermanos</t>
  </si>
  <si>
    <t>966</t>
  </si>
  <si>
    <t>2026-07-28</t>
  </si>
  <si>
    <t>972</t>
  </si>
  <si>
    <t>2026-07-30</t>
  </si>
  <si>
    <t>Elio Misael Arreaza De la Rosa - Agroveterinaria el Potro</t>
  </si>
  <si>
    <t>977</t>
  </si>
  <si>
    <t>2026-07-31</t>
  </si>
  <si>
    <t>980</t>
  </si>
  <si>
    <t>2026-08-01</t>
  </si>
  <si>
    <t>2026-08-03</t>
  </si>
  <si>
    <t>Comerzializadora y Agroveterinaria el Agricultor - Alejandro Ordóñez</t>
  </si>
  <si>
    <t>1010</t>
  </si>
  <si>
    <t>2026-08-07</t>
  </si>
  <si>
    <t>1012</t>
  </si>
  <si>
    <t>2026-08-10</t>
  </si>
  <si>
    <t>RECINOS MAZARIEGOS ERMIDES GAMALIEL - Agronorte</t>
  </si>
  <si>
    <t>Byron Escobar - Agroveterinaria Escobar</t>
  </si>
  <si>
    <t>2026-08-12</t>
  </si>
  <si>
    <t>Erlin Hernández - Agroveterinaria El Futuro H2O</t>
  </si>
  <si>
    <t>1031</t>
  </si>
  <si>
    <t>2026-08-13</t>
  </si>
  <si>
    <t>1032</t>
  </si>
  <si>
    <t>REYES GARCÍA GONZALES IRIS ADELA - Agroveterinaria Alexa</t>
  </si>
  <si>
    <t>1035</t>
  </si>
  <si>
    <t>2026-08-14</t>
  </si>
  <si>
    <t>1037</t>
  </si>
  <si>
    <t>Erick Hernández - Efinagro</t>
  </si>
  <si>
    <t>1043</t>
  </si>
  <si>
    <t>2026-08-17</t>
  </si>
  <si>
    <t>CATALÁN LÓPEZ YEIMY SUCELY - Agroveterinaria DR</t>
  </si>
  <si>
    <t>1044</t>
  </si>
  <si>
    <t>DUARTE NÁJERA GUERRA BRENDA NOHEMÍ - Agroveterinaria los 3 hermanos</t>
  </si>
  <si>
    <t>1048</t>
  </si>
  <si>
    <t>JUNIOR ALEXANDER ORTÍZ REVOLORIO - Agroveterinaria el granjero</t>
  </si>
  <si>
    <t>1049</t>
  </si>
  <si>
    <t>2026-08-18</t>
  </si>
  <si>
    <t>Hever Joel Tello Hernández - Agroveterinaria San Francisco</t>
  </si>
  <si>
    <t>1056</t>
  </si>
  <si>
    <t>2026-08-19</t>
  </si>
  <si>
    <t>1063</t>
  </si>
  <si>
    <t>2026-08-20</t>
  </si>
  <si>
    <t>VICENTE VICENTE FREDY - Agroveterinaria Vicente</t>
  </si>
  <si>
    <t>1070</t>
  </si>
  <si>
    <t>SUTUJ CANSINOS HUGO WILFREDO - Agro El Corral</t>
  </si>
  <si>
    <t>1071</t>
  </si>
  <si>
    <t>VICENTE VICENTE RONY ORLANDO - Agros. El sembrador</t>
  </si>
  <si>
    <t>1072</t>
  </si>
  <si>
    <t>2026-08-21</t>
  </si>
  <si>
    <t>Andrea villegas - Agrosev. El sembrador</t>
  </si>
  <si>
    <t>Nery Paredes - Agroservicio El Campesino</t>
  </si>
  <si>
    <t>1077</t>
  </si>
  <si>
    <t>2026-08-24</t>
  </si>
  <si>
    <t>1079</t>
  </si>
  <si>
    <t>2026-08-25</t>
  </si>
  <si>
    <t>Hary Campos - Agroveterinaria El Rejo</t>
  </si>
  <si>
    <t>1093</t>
  </si>
  <si>
    <t>2026-08-26</t>
  </si>
  <si>
    <t>1097</t>
  </si>
  <si>
    <t>CHONAY SAMOL WILMAN - Agropecuaria Chonay</t>
  </si>
  <si>
    <t>1098</t>
  </si>
  <si>
    <t>BETANCOURTH BARRERA WALFREN ELIEL - Agroveterinaria La cumbre</t>
  </si>
  <si>
    <t>1099</t>
  </si>
  <si>
    <t>2026-08-27</t>
  </si>
  <si>
    <t>1101</t>
  </si>
  <si>
    <t>2026-08-28</t>
  </si>
  <si>
    <t>ARREAZA DE LA ROSA ELIO MISAEL - Agroveterinaria el Potro</t>
  </si>
  <si>
    <t>1105</t>
  </si>
  <si>
    <t>2026-09-01</t>
  </si>
  <si>
    <t>Rosy Calderon - Agroveterinaria el Corral</t>
  </si>
  <si>
    <t>1112</t>
  </si>
  <si>
    <t>2026-09-02</t>
  </si>
  <si>
    <t>1114</t>
  </si>
  <si>
    <t>Jose Medrano - Finca los 3 hermanos</t>
  </si>
  <si>
    <t>1120</t>
  </si>
  <si>
    <t>2026-09-03</t>
  </si>
  <si>
    <t>CORTÉZ JIMENEZ WILDER JOEL - agroveterinaria el éxito</t>
  </si>
  <si>
    <t>1121</t>
  </si>
  <si>
    <t>1132</t>
  </si>
  <si>
    <t>2026-09-07</t>
  </si>
  <si>
    <t>1135</t>
  </si>
  <si>
    <t>DÍAZ MARROQUÍN SHERLINA ESTEFANIA - Agro. Sherlina</t>
  </si>
  <si>
    <t>1140</t>
  </si>
  <si>
    <t>POP LÓPEZ CESAR AMILCAR - AGROVETERINARIA EL AMIGO</t>
  </si>
  <si>
    <t>2026-09-14</t>
  </si>
  <si>
    <t>Wilder Lemus - Agroveterinaria El amigo</t>
  </si>
  <si>
    <t>1174</t>
  </si>
  <si>
    <t>2026-09-18</t>
  </si>
  <si>
    <t>1177</t>
  </si>
  <si>
    <t>2026-09-19</t>
  </si>
  <si>
    <t>MATEO CARIAS DEIMY MARISOL - Agroveterinaria La Mascota</t>
  </si>
  <si>
    <t xml:space="preserve"> TABLAS AUXILIARES DE ANALÍTICA Y GRÁFICAS</t>
  </si>
  <si>
    <t xml:space="preserve"> Base de soporte para las visualizaciones del Dashboard Ejecutivo</t>
  </si>
  <si>
    <t>Cliente Asignado</t>
  </si>
  <si>
    <t>Facturación Erick (Q)</t>
  </si>
  <si>
    <t>Estado de Cartera</t>
  </si>
  <si>
    <t>Cantidad Clientes</t>
  </si>
  <si>
    <t>Activo (Con Venta)</t>
  </si>
  <si>
    <t>Pendiente de Visita</t>
  </si>
  <si>
    <t>Zona / Municipio</t>
  </si>
  <si>
    <t>Clientes Asignados</t>
  </si>
</sst>
</file>

<file path=xl/styles.xml><?xml version="1.0" encoding="utf-8"?>
<styleSheet xmlns="http://schemas.openxmlformats.org/spreadsheetml/2006/main">
  <numFmts count="1">
    <numFmt numFmtId="164" formatCode="&quot;Q &quot;#,##0.00"/>
  </numFmts>
  <fonts count="13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FFFFFF"/>
      <name val="Segoe UI"/>
      <family val="2"/>
    </font>
    <font>
      <b/>
      <sz val="9"/>
      <color rgb="FF64748B"/>
      <name val="Segoe UI"/>
      <family val="2"/>
    </font>
    <font>
      <b/>
      <sz val="16"/>
      <color rgb="FF0F172A"/>
      <name val="Segoe UI"/>
      <family val="2"/>
    </font>
    <font>
      <b/>
      <sz val="16"/>
      <color rgb="FFD97706"/>
      <name val="Segoe UI"/>
      <family val="2"/>
    </font>
    <font>
      <b/>
      <sz val="16"/>
      <color rgb="FF004F50"/>
      <name val="Segoe UI"/>
      <family val="2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65F46"/>
      <name val="Segoe UI"/>
      <family val="2"/>
    </font>
    <font>
      <sz val="8.5"/>
      <color theme="1"/>
      <name val="Segoe UI"/>
      <family val="2"/>
    </font>
    <font>
      <b/>
      <sz val="9"/>
      <color rgb="FF92400E"/>
      <name val="Segoe UI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696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1F5F9"/>
        <bgColor indexed="64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FDE68A"/>
      </left>
      <right style="thin">
        <color rgb="FFFDE68A"/>
      </right>
      <top/>
      <bottom style="thin">
        <color rgb="FFFDE68A"/>
      </bottom>
      <diagonal/>
    </border>
    <border>
      <left style="thin">
        <color rgb="FF004F50"/>
      </left>
      <right style="thin">
        <color rgb="FF004F50"/>
      </right>
      <top style="thin">
        <color rgb="FF004F50"/>
      </top>
      <bottom style="thin">
        <color rgb="FF004F5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9" fillId="5" borderId="6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vertical="center" wrapText="1"/>
    </xf>
    <xf numFmtId="0" fontId="11" fillId="4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164" fontId="12" fillId="6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F50"/>
                </a:solidFill>
              </a:defRPr>
            </a:pPr>
            <a:r>
              <a:rPr lang="en-US" sz="1100" b="1" baseline="0">
                <a:solidFill>
                  <a:srgbClr val="004F50"/>
                </a:solidFill>
              </a:rPr>
              <a:t>Top 15 Clientes con Mayor Facturación (Quetzales)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8000000000000003"/>
          <c:y val="0.10000000000000001"/>
          <c:w val="0.66000000000000003"/>
          <c:h val="0.78000000000000003"/>
        </c:manualLayout>
      </c:layout>
      <c:barChart>
        <c:barDir val="bar"/>
        <c:grouping val="clustered"/>
        <c:ser>
          <c:idx val="0"/>
          <c:order val="0"/>
          <c:tx>
            <c:v>Facturación Erick (Q)</c:v>
          </c:tx>
          <c:spPr>
            <a:solidFill>
              <a:srgbClr val="00696A"/>
            </a:solidFill>
          </c:spPr>
          <c:dLbls>
            <c:numFmt formatCode="&quot;Q &quot;#,##0" sourceLinked="0"/>
            <c:txPr>
              <a:bodyPr/>
              <a:lstStyle/>
              <a:p>
                <a:pPr>
                  <a:defRPr sz="850" b="1" baseline="0">
                    <a:solidFill>
                      <a:srgbClr val="1E293B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'Analitica y Graficas'!$B$7:$B$21</c:f>
              <c:strCache>
                <c:ptCount val="15"/>
                <c:pt idx="0">
                  <c:v>Rony Vicente</c:v>
                </c:pt>
                <c:pt idx="1">
                  <c:v>Fredy Vicente</c:v>
                </c:pt>
                <c:pt idx="2">
                  <c:v>Eliberto Cortez (Wilder Cortez)</c:v>
                </c:pt>
                <c:pt idx="3">
                  <c:v>Iris Reyes</c:v>
                </c:pt>
                <c:pt idx="4">
                  <c:v>Hugo Sutuj</c:v>
                </c:pt>
                <c:pt idx="5">
                  <c:v>Brenda Duarte</c:v>
                </c:pt>
                <c:pt idx="6">
                  <c:v>Cesar Lopez</c:v>
                </c:pt>
                <c:pt idx="7">
                  <c:v>Wilder Lemus</c:v>
                </c:pt>
                <c:pt idx="8">
                  <c:v>Yeimy Catalan</c:v>
                </c:pt>
                <c:pt idx="9">
                  <c:v>Elio Arreaza</c:v>
                </c:pt>
                <c:pt idx="10">
                  <c:v>Eliel Betancourt</c:v>
                </c:pt>
                <c:pt idx="11">
                  <c:v>Wilman Chonay</c:v>
                </c:pt>
                <c:pt idx="12">
                  <c:v>Israel España (Angel España)</c:v>
                </c:pt>
                <c:pt idx="13">
                  <c:v>Geovany Hernandez</c:v>
                </c:pt>
                <c:pt idx="14">
                  <c:v>Marlon Garrido (Mailon)</c:v>
                </c:pt>
              </c:strCache>
            </c:strRef>
          </c:cat>
          <c:val>
            <c:numRef>
              <c:f>'Analitica y Graficas'!$C$7:$C$21</c:f>
              <c:numCache>
                <c:formatCode>General</c:formatCode>
                <c:ptCount val="15"/>
                <c:pt idx="0">
                  <c:v>19205</c:v>
                </c:pt>
                <c:pt idx="1">
                  <c:v>18640.2</c:v>
                </c:pt>
                <c:pt idx="2">
                  <c:v>15031.5</c:v>
                </c:pt>
                <c:pt idx="3">
                  <c:v>12307</c:v>
                </c:pt>
                <c:pt idx="4">
                  <c:v>11768.5</c:v>
                </c:pt>
                <c:pt idx="5">
                  <c:v>10269</c:v>
                </c:pt>
                <c:pt idx="6">
                  <c:v>9006.799999999999</c:v>
                </c:pt>
                <c:pt idx="7">
                  <c:v>8880</c:v>
                </c:pt>
                <c:pt idx="8">
                  <c:v>8318</c:v>
                </c:pt>
                <c:pt idx="9">
                  <c:v>6654</c:v>
                </c:pt>
                <c:pt idx="10">
                  <c:v>6493.5</c:v>
                </c:pt>
                <c:pt idx="11">
                  <c:v>5987</c:v>
                </c:pt>
                <c:pt idx="12">
                  <c:v>5895.5</c:v>
                </c:pt>
                <c:pt idx="13">
                  <c:v>5715</c:v>
                </c:pt>
                <c:pt idx="14">
                  <c:v>4695.25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50" baseline="0">
                <a:solidFill>
                  <a:srgbClr val="334155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E2E8F0"/>
              </a:solidFill>
              <a:prstDash val="dash"/>
            </a:ln>
          </c:spPr>
        </c:majorGridlines>
        <c:numFmt formatCode="&quot;Q &quot;#,##0" sourceLinked="0"/>
        <c:tickLblPos val="nextTo"/>
        <c:txPr>
          <a:bodyPr/>
          <a:lstStyle/>
          <a:p>
            <a:pPr>
              <a:defRPr sz="850" baseline="0">
                <a:solidFill>
                  <a:srgbClr val="64748B"/>
                </a:solidFill>
              </a:defRPr>
            </a:pPr>
            <a:endParaRPr lang="en-US"/>
          </a:p>
        </c:txPr>
        <c:crossAx val="50010001"/>
        <c:crosses val="max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F50"/>
                </a:solidFill>
              </a:defRPr>
            </a:pPr>
            <a:r>
              <a:rPr lang="en-US" sz="1100" b="1" baseline="0">
                <a:solidFill>
                  <a:srgbClr val="004F50"/>
                </a:solidFill>
              </a:rPr>
              <a:t>Cobertura Comercial de la Cartera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Efectividad de Cartera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D97706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'Analitica y Graficas'!$E$7:$E$8</c:f>
              <c:strCache>
                <c:ptCount val="2"/>
                <c:pt idx="0">
                  <c:v>Activo (Con Venta)</c:v>
                </c:pt>
                <c:pt idx="1">
                  <c:v>Pendiente de Visita</c:v>
                </c:pt>
              </c:strCache>
            </c:strRef>
          </c:cat>
          <c:val>
            <c:numRef>
              <c:f>'Analitica y Graficas'!$F$7:$F$8</c:f>
              <c:numCache>
                <c:formatCode>General</c:formatCode>
                <c:ptCount val="2"/>
                <c:pt idx="0">
                  <c:v>34</c:v>
                </c:pt>
                <c:pt idx="1">
                  <c:v>18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4155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F50"/>
                </a:solidFill>
              </a:defRPr>
            </a:pPr>
            <a:r>
              <a:rPr lang="en-US" sz="1100" b="1" baseline="0">
                <a:solidFill>
                  <a:srgbClr val="004F50"/>
                </a:solidFill>
              </a:rPr>
              <a:t>Distribución por Municipios Principales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por Zona</c:v>
          </c:tx>
          <c:dPt>
            <c:idx val="0"/>
            <c:spPr>
              <a:solidFill>
                <a:srgbClr val="00696A"/>
              </a:solidFill>
            </c:spPr>
          </c:dPt>
          <c:dPt>
            <c:idx val="1"/>
            <c:spPr>
              <a:solidFill>
                <a:srgbClr val="0D9488"/>
              </a:solidFill>
            </c:spPr>
          </c:dPt>
          <c:dPt>
            <c:idx val="2"/>
            <c:spPr>
              <a:solidFill>
                <a:srgbClr val="14B8A6"/>
              </a:solidFill>
            </c:spPr>
          </c:dPt>
          <c:dPt>
            <c:idx val="3"/>
            <c:spPr>
              <a:solidFill>
                <a:srgbClr val="2DD4BF"/>
              </a:solidFill>
            </c:spPr>
          </c:dPt>
          <c:dPt>
            <c:idx val="4"/>
            <c:spPr>
              <a:solidFill>
                <a:srgbClr val="5EEAD4"/>
              </a:solidFill>
            </c:spPr>
          </c:dPt>
          <c:dPt>
            <c:idx val="5"/>
            <c:spPr>
              <a:solidFill>
                <a:srgbClr val="99F6E4"/>
              </a:solidFill>
            </c:spPr>
          </c:dPt>
          <c:dPt>
            <c:idx val="6"/>
            <c:spPr>
              <a:solidFill>
                <a:srgbClr val="CBD5E1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'Analitica y Graficas'!$E$12:$E$19</c:f>
              <c:strCache>
                <c:ptCount val="8"/>
                <c:pt idx="0">
                  <c:v>El Chal</c:v>
                </c:pt>
                <c:pt idx="1">
                  <c:v>San Luis</c:v>
                </c:pt>
                <c:pt idx="2">
                  <c:v>Santa Elena</c:v>
                </c:pt>
                <c:pt idx="3">
                  <c:v>Dolores</c:v>
                </c:pt>
                <c:pt idx="4">
                  <c:v>Poptun</c:v>
                </c:pt>
                <c:pt idx="5">
                  <c:v>Santa Ana</c:v>
                </c:pt>
                <c:pt idx="6">
                  <c:v>Sacpuy San Andres</c:v>
                </c:pt>
                <c:pt idx="7">
                  <c:v>San Luis Peten</c:v>
                </c:pt>
              </c:strCache>
            </c:strRef>
          </c:cat>
          <c:val>
            <c:numRef>
              <c:f>'Analitica y Graficas'!$F$12:$F$19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850" baseline="0">
              <a:solidFill>
                <a:srgbClr val="334155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7</xdr:col>
      <xdr:colOff>9525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63</xdr:row>
      <xdr:rowOff>0</xdr:rowOff>
    </xdr:from>
    <xdr:to>
      <xdr:col>10</xdr:col>
      <xdr:colOff>914400</xdr:colOff>
      <xdr:row>75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76</xdr:row>
      <xdr:rowOff>0</xdr:rowOff>
    </xdr:from>
    <xdr:to>
      <xdr:col>10</xdr:col>
      <xdr:colOff>914400</xdr:colOff>
      <xdr:row>88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K62"/>
  <sheetViews>
    <sheetView tabSelected="1" zoomScale="90" zoomScaleNormal="90" workbookViewId="0"/>
  </sheetViews>
  <sheetFormatPr defaultRowHeight="15"/>
  <cols>
    <col min="1" max="1" width="2.28515625" customWidth="1"/>
    <col min="2" max="2" width="5.7109375" customWidth="1"/>
    <col min="3" max="3" width="23.7109375" customWidth="1"/>
    <col min="4" max="4" width="18.7109375" customWidth="1"/>
    <col min="5" max="5" width="13.7109375" customWidth="1"/>
    <col min="6" max="6" width="19.7109375" customWidth="1"/>
    <col min="7" max="7" width="9.7109375" customWidth="1"/>
    <col min="8" max="8" width="15.7109375" customWidth="1"/>
    <col min="9" max="9" width="18.7109375" customWidth="1"/>
    <col min="10" max="10" width="14.7109375" customWidth="1"/>
    <col min="11" max="11" width="38.7109375" customWidth="1"/>
  </cols>
  <sheetData>
    <row r="2" spans="2:11" ht="28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18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spans="2:11" ht="18" customHeight="1">
      <c r="B5" s="3" t="s">
        <v>2</v>
      </c>
      <c r="C5" s="3"/>
      <c r="D5" s="3" t="s">
        <v>3</v>
      </c>
      <c r="E5" s="3"/>
      <c r="F5" s="3" t="s">
        <v>5</v>
      </c>
      <c r="G5" s="3"/>
      <c r="H5" s="3" t="s">
        <v>7</v>
      </c>
      <c r="I5" s="3"/>
      <c r="J5" s="3" t="s">
        <v>8</v>
      </c>
      <c r="K5" s="3"/>
    </row>
    <row r="6" spans="2:11" ht="26" customHeight="1">
      <c r="B6" s="4">
        <v>52</v>
      </c>
      <c r="C6" s="4"/>
      <c r="D6" s="4" t="s">
        <v>4</v>
      </c>
      <c r="E6" s="4"/>
      <c r="F6" s="5" t="s">
        <v>6</v>
      </c>
      <c r="G6" s="5"/>
      <c r="H6" s="6">
        <v>201833.95</v>
      </c>
      <c r="I6" s="6"/>
      <c r="J6" s="4" t="s">
        <v>9</v>
      </c>
      <c r="K6" s="4"/>
    </row>
    <row r="9" spans="2:11" ht="24" customHeight="1"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</row>
    <row r="10" spans="2:11" ht="28" customHeight="1">
      <c r="B10" s="8">
        <v>1</v>
      </c>
      <c r="C10" s="9" t="s">
        <v>20</v>
      </c>
      <c r="D10" s="9" t="s">
        <v>21</v>
      </c>
      <c r="E10" s="8" t="s">
        <v>22</v>
      </c>
      <c r="F10" s="10" t="s">
        <v>23</v>
      </c>
      <c r="G10" s="8">
        <v>2</v>
      </c>
      <c r="H10" s="11">
        <v>4147</v>
      </c>
      <c r="I10" s="8" t="s">
        <v>24</v>
      </c>
      <c r="J10" s="8" t="s">
        <v>25</v>
      </c>
      <c r="K10" s="12" t="s">
        <v>26</v>
      </c>
    </row>
    <row r="11" spans="2:11" ht="28" customHeight="1">
      <c r="B11" s="8">
        <v>2</v>
      </c>
      <c r="C11" s="9" t="s">
        <v>27</v>
      </c>
      <c r="D11" s="9" t="s">
        <v>28</v>
      </c>
      <c r="E11" s="8" t="s">
        <v>29</v>
      </c>
      <c r="F11" s="13" t="s">
        <v>30</v>
      </c>
      <c r="G11" s="8">
        <v>0</v>
      </c>
      <c r="H11" s="11">
        <v>0</v>
      </c>
      <c r="I11" s="8" t="s">
        <v>31</v>
      </c>
      <c r="J11" s="8" t="s">
        <v>32</v>
      </c>
      <c r="K11" s="12" t="s">
        <v>33</v>
      </c>
    </row>
    <row r="12" spans="2:11" ht="28" customHeight="1">
      <c r="B12" s="8">
        <v>3</v>
      </c>
      <c r="C12" s="9" t="s">
        <v>34</v>
      </c>
      <c r="D12" s="9" t="s">
        <v>35</v>
      </c>
      <c r="E12" s="8" t="s">
        <v>29</v>
      </c>
      <c r="F12" s="10" t="s">
        <v>23</v>
      </c>
      <c r="G12" s="8">
        <v>2</v>
      </c>
      <c r="H12" s="11">
        <v>4695.25</v>
      </c>
      <c r="I12" s="8" t="s">
        <v>36</v>
      </c>
      <c r="J12" s="8" t="s">
        <v>25</v>
      </c>
      <c r="K12" s="12" t="s">
        <v>37</v>
      </c>
    </row>
    <row r="13" spans="2:11" ht="28" customHeight="1">
      <c r="B13" s="8">
        <v>4</v>
      </c>
      <c r="C13" s="9" t="s">
        <v>38</v>
      </c>
      <c r="D13" s="9" t="s">
        <v>39</v>
      </c>
      <c r="E13" s="8" t="s">
        <v>22</v>
      </c>
      <c r="F13" s="10" t="s">
        <v>23</v>
      </c>
      <c r="G13" s="8">
        <v>3</v>
      </c>
      <c r="H13" s="11">
        <v>9006.799999999999</v>
      </c>
      <c r="I13" s="8" t="s">
        <v>40</v>
      </c>
      <c r="J13" s="8" t="s">
        <v>25</v>
      </c>
      <c r="K13" s="12" t="s">
        <v>41</v>
      </c>
    </row>
    <row r="14" spans="2:11" ht="28" customHeight="1">
      <c r="B14" s="8">
        <v>5</v>
      </c>
      <c r="C14" s="9" t="s">
        <v>42</v>
      </c>
      <c r="D14" s="9" t="s">
        <v>43</v>
      </c>
      <c r="E14" s="8" t="s">
        <v>29</v>
      </c>
      <c r="F14" s="10" t="s">
        <v>23</v>
      </c>
      <c r="G14" s="8">
        <v>2</v>
      </c>
      <c r="H14" s="11">
        <v>12307</v>
      </c>
      <c r="I14" s="8" t="s">
        <v>44</v>
      </c>
      <c r="J14" s="8" t="s">
        <v>25</v>
      </c>
      <c r="K14" s="12" t="s">
        <v>45</v>
      </c>
    </row>
    <row r="15" spans="2:11" ht="28" customHeight="1">
      <c r="B15" s="8">
        <v>6</v>
      </c>
      <c r="C15" s="9" t="s">
        <v>46</v>
      </c>
      <c r="D15" s="9" t="s">
        <v>47</v>
      </c>
      <c r="E15" s="8" t="s">
        <v>48</v>
      </c>
      <c r="F15" s="10" t="s">
        <v>23</v>
      </c>
      <c r="G15" s="8">
        <v>3</v>
      </c>
      <c r="H15" s="11">
        <v>5987</v>
      </c>
      <c r="I15" s="8" t="s">
        <v>49</v>
      </c>
      <c r="J15" s="8" t="s">
        <v>25</v>
      </c>
      <c r="K15" s="12" t="s">
        <v>50</v>
      </c>
    </row>
    <row r="16" spans="2:11" ht="28" customHeight="1">
      <c r="B16" s="8">
        <v>7</v>
      </c>
      <c r="C16" s="9" t="s">
        <v>51</v>
      </c>
      <c r="D16" s="9" t="s">
        <v>52</v>
      </c>
      <c r="E16" s="8" t="s">
        <v>53</v>
      </c>
      <c r="F16" s="10" t="s">
        <v>23</v>
      </c>
      <c r="G16" s="8">
        <v>3</v>
      </c>
      <c r="H16" s="11">
        <v>3877.45</v>
      </c>
      <c r="I16" s="8" t="s">
        <v>54</v>
      </c>
      <c r="J16" s="8" t="s">
        <v>25</v>
      </c>
      <c r="K16" s="12" t="s">
        <v>55</v>
      </c>
    </row>
    <row r="17" spans="2:11" ht="28" customHeight="1">
      <c r="B17" s="8">
        <v>8</v>
      </c>
      <c r="C17" s="9" t="s">
        <v>56</v>
      </c>
      <c r="D17" s="9" t="s">
        <v>57</v>
      </c>
      <c r="E17" s="8" t="s">
        <v>22</v>
      </c>
      <c r="F17" s="13" t="s">
        <v>30</v>
      </c>
      <c r="G17" s="8">
        <v>0</v>
      </c>
      <c r="H17" s="11">
        <v>0</v>
      </c>
      <c r="I17" s="8" t="s">
        <v>31</v>
      </c>
      <c r="J17" s="8" t="s">
        <v>32</v>
      </c>
      <c r="K17" s="12" t="s">
        <v>58</v>
      </c>
    </row>
    <row r="18" spans="2:11" ht="28" customHeight="1">
      <c r="B18" s="8">
        <v>9</v>
      </c>
      <c r="C18" s="9" t="s">
        <v>59</v>
      </c>
      <c r="D18" s="9" t="s">
        <v>43</v>
      </c>
      <c r="E18" s="8" t="s">
        <v>22</v>
      </c>
      <c r="F18" s="10" t="s">
        <v>23</v>
      </c>
      <c r="G18" s="8">
        <v>1</v>
      </c>
      <c r="H18" s="11">
        <v>5715</v>
      </c>
      <c r="I18" s="8" t="s">
        <v>60</v>
      </c>
      <c r="J18" s="8" t="s">
        <v>25</v>
      </c>
      <c r="K18" s="12" t="s">
        <v>61</v>
      </c>
    </row>
    <row r="19" spans="2:11" ht="28" customHeight="1">
      <c r="B19" s="8">
        <v>10</v>
      </c>
      <c r="C19" s="9" t="s">
        <v>62</v>
      </c>
      <c r="D19" s="9" t="s">
        <v>63</v>
      </c>
      <c r="E19" s="8" t="s">
        <v>22</v>
      </c>
      <c r="F19" s="10" t="s">
        <v>23</v>
      </c>
      <c r="G19" s="8">
        <v>2</v>
      </c>
      <c r="H19" s="11">
        <v>2581.35</v>
      </c>
      <c r="I19" s="8" t="s">
        <v>64</v>
      </c>
      <c r="J19" s="8" t="s">
        <v>25</v>
      </c>
      <c r="K19" s="12" t="s">
        <v>65</v>
      </c>
    </row>
    <row r="20" spans="2:11" ht="28" customHeight="1">
      <c r="B20" s="8">
        <v>11</v>
      </c>
      <c r="C20" s="9" t="s">
        <v>66</v>
      </c>
      <c r="D20" s="9" t="s">
        <v>67</v>
      </c>
      <c r="E20" s="8" t="s">
        <v>22</v>
      </c>
      <c r="F20" s="10" t="s">
        <v>23</v>
      </c>
      <c r="G20" s="8">
        <v>3</v>
      </c>
      <c r="H20" s="11">
        <v>18640.2</v>
      </c>
      <c r="I20" s="8" t="s">
        <v>68</v>
      </c>
      <c r="J20" s="8" t="s">
        <v>25</v>
      </c>
      <c r="K20" s="12" t="s">
        <v>69</v>
      </c>
    </row>
    <row r="21" spans="2:11" ht="28" customHeight="1">
      <c r="B21" s="8">
        <v>12</v>
      </c>
      <c r="C21" s="9" t="s">
        <v>70</v>
      </c>
      <c r="D21" s="9" t="s">
        <v>71</v>
      </c>
      <c r="E21" s="8" t="s">
        <v>29</v>
      </c>
      <c r="F21" s="10" t="s">
        <v>23</v>
      </c>
      <c r="G21" s="8">
        <v>1</v>
      </c>
      <c r="H21" s="11">
        <v>3150</v>
      </c>
      <c r="I21" s="8" t="s">
        <v>72</v>
      </c>
      <c r="J21" s="8" t="s">
        <v>25</v>
      </c>
      <c r="K21" s="12" t="s">
        <v>73</v>
      </c>
    </row>
    <row r="22" spans="2:11" ht="28" customHeight="1">
      <c r="B22" s="8">
        <v>13</v>
      </c>
      <c r="C22" s="9" t="s">
        <v>74</v>
      </c>
      <c r="D22" s="9" t="s">
        <v>43</v>
      </c>
      <c r="E22" s="8" t="s">
        <v>22</v>
      </c>
      <c r="F22" s="10" t="s">
        <v>23</v>
      </c>
      <c r="G22" s="8">
        <v>4</v>
      </c>
      <c r="H22" s="11">
        <v>19205</v>
      </c>
      <c r="I22" s="8" t="s">
        <v>75</v>
      </c>
      <c r="J22" s="8" t="s">
        <v>25</v>
      </c>
      <c r="K22" s="12" t="s">
        <v>76</v>
      </c>
    </row>
    <row r="23" spans="2:11" ht="28" customHeight="1">
      <c r="B23" s="8">
        <v>14</v>
      </c>
      <c r="C23" s="9" t="s">
        <v>77</v>
      </c>
      <c r="D23" s="9" t="s">
        <v>78</v>
      </c>
      <c r="E23" s="8" t="s">
        <v>22</v>
      </c>
      <c r="F23" s="13" t="s">
        <v>30</v>
      </c>
      <c r="G23" s="8">
        <v>0</v>
      </c>
      <c r="H23" s="11">
        <v>0</v>
      </c>
      <c r="I23" s="8" t="s">
        <v>31</v>
      </c>
      <c r="J23" s="8" t="s">
        <v>32</v>
      </c>
      <c r="K23" s="12" t="s">
        <v>79</v>
      </c>
    </row>
    <row r="24" spans="2:11" ht="28" customHeight="1">
      <c r="B24" s="8">
        <v>15</v>
      </c>
      <c r="C24" s="9" t="s">
        <v>80</v>
      </c>
      <c r="D24" s="9" t="s">
        <v>81</v>
      </c>
      <c r="E24" s="8" t="s">
        <v>29</v>
      </c>
      <c r="F24" s="10" t="s">
        <v>23</v>
      </c>
      <c r="G24" s="8">
        <v>6</v>
      </c>
      <c r="H24" s="11">
        <v>6493.5</v>
      </c>
      <c r="I24" s="8" t="s">
        <v>82</v>
      </c>
      <c r="J24" s="8" t="s">
        <v>25</v>
      </c>
      <c r="K24" s="12" t="s">
        <v>83</v>
      </c>
    </row>
    <row r="25" spans="2:11" ht="28" customHeight="1">
      <c r="B25" s="8">
        <v>16</v>
      </c>
      <c r="C25" s="9" t="s">
        <v>84</v>
      </c>
      <c r="D25" s="9" t="s">
        <v>85</v>
      </c>
      <c r="E25" s="8" t="s">
        <v>22</v>
      </c>
      <c r="F25" s="10" t="s">
        <v>23</v>
      </c>
      <c r="G25" s="8">
        <v>2</v>
      </c>
      <c r="H25" s="11">
        <v>5895.5</v>
      </c>
      <c r="I25" s="8" t="s">
        <v>86</v>
      </c>
      <c r="J25" s="8" t="s">
        <v>25</v>
      </c>
      <c r="K25" s="12" t="s">
        <v>87</v>
      </c>
    </row>
    <row r="26" spans="2:11" ht="28" customHeight="1">
      <c r="B26" s="8">
        <v>17</v>
      </c>
      <c r="C26" s="9" t="s">
        <v>88</v>
      </c>
      <c r="D26" s="9" t="s">
        <v>85</v>
      </c>
      <c r="E26" s="8" t="s">
        <v>22</v>
      </c>
      <c r="F26" s="13" t="s">
        <v>30</v>
      </c>
      <c r="G26" s="8">
        <v>0</v>
      </c>
      <c r="H26" s="11">
        <v>0</v>
      </c>
      <c r="I26" s="8" t="s">
        <v>31</v>
      </c>
      <c r="J26" s="8" t="s">
        <v>32</v>
      </c>
      <c r="K26" s="12" t="s">
        <v>89</v>
      </c>
    </row>
    <row r="27" spans="2:11" ht="28" customHeight="1">
      <c r="B27" s="8">
        <v>18</v>
      </c>
      <c r="C27" s="9" t="s">
        <v>90</v>
      </c>
      <c r="D27" s="9" t="s">
        <v>85</v>
      </c>
      <c r="E27" s="8" t="s">
        <v>22</v>
      </c>
      <c r="F27" s="10" t="s">
        <v>23</v>
      </c>
      <c r="G27" s="8">
        <v>6</v>
      </c>
      <c r="H27" s="11">
        <v>11768.5</v>
      </c>
      <c r="I27" s="8" t="s">
        <v>91</v>
      </c>
      <c r="J27" s="8" t="s">
        <v>25</v>
      </c>
      <c r="K27" s="12" t="s">
        <v>92</v>
      </c>
    </row>
    <row r="28" spans="2:11" ht="28" customHeight="1">
      <c r="B28" s="8">
        <v>19</v>
      </c>
      <c r="C28" s="9" t="s">
        <v>93</v>
      </c>
      <c r="D28" s="9" t="s">
        <v>85</v>
      </c>
      <c r="E28" s="8" t="s">
        <v>22</v>
      </c>
      <c r="F28" s="10" t="s">
        <v>23</v>
      </c>
      <c r="G28" s="8">
        <v>1</v>
      </c>
      <c r="H28" s="11">
        <v>1706.5</v>
      </c>
      <c r="I28" s="8" t="s">
        <v>94</v>
      </c>
      <c r="J28" s="8" t="s">
        <v>25</v>
      </c>
      <c r="K28" s="12" t="s">
        <v>95</v>
      </c>
    </row>
    <row r="29" spans="2:11" ht="28" customHeight="1">
      <c r="B29" s="8">
        <v>20</v>
      </c>
      <c r="C29" s="9" t="s">
        <v>96</v>
      </c>
      <c r="D29" s="9" t="s">
        <v>97</v>
      </c>
      <c r="E29" s="8" t="s">
        <v>29</v>
      </c>
      <c r="F29" s="10" t="s">
        <v>23</v>
      </c>
      <c r="G29" s="8">
        <v>1</v>
      </c>
      <c r="H29" s="11">
        <v>1456</v>
      </c>
      <c r="I29" s="8" t="s">
        <v>98</v>
      </c>
      <c r="J29" s="8" t="s">
        <v>25</v>
      </c>
      <c r="K29" s="12" t="s">
        <v>99</v>
      </c>
    </row>
    <row r="30" spans="2:11" ht="28" customHeight="1">
      <c r="B30" s="8">
        <v>21</v>
      </c>
      <c r="C30" s="9" t="s">
        <v>100</v>
      </c>
      <c r="D30" s="9" t="s">
        <v>101</v>
      </c>
      <c r="E30" s="8" t="s">
        <v>22</v>
      </c>
      <c r="F30" s="10" t="s">
        <v>23</v>
      </c>
      <c r="G30" s="8">
        <v>2</v>
      </c>
      <c r="H30" s="11">
        <v>3168</v>
      </c>
      <c r="I30" s="8" t="s">
        <v>102</v>
      </c>
      <c r="J30" s="8" t="s">
        <v>25</v>
      </c>
      <c r="K30" s="12" t="s">
        <v>103</v>
      </c>
    </row>
    <row r="31" spans="2:11" ht="28" customHeight="1">
      <c r="B31" s="8">
        <v>22</v>
      </c>
      <c r="C31" s="9" t="s">
        <v>104</v>
      </c>
      <c r="D31" s="9" t="s">
        <v>67</v>
      </c>
      <c r="E31" s="8" t="s">
        <v>29</v>
      </c>
      <c r="F31" s="10" t="s">
        <v>23</v>
      </c>
      <c r="G31" s="8">
        <v>2</v>
      </c>
      <c r="H31" s="11">
        <v>4393</v>
      </c>
      <c r="I31" s="8" t="s">
        <v>105</v>
      </c>
      <c r="J31" s="8" t="s">
        <v>25</v>
      </c>
      <c r="K31" s="12" t="s">
        <v>106</v>
      </c>
    </row>
    <row r="32" spans="2:11" ht="28" customHeight="1">
      <c r="B32" s="8">
        <v>23</v>
      </c>
      <c r="C32" s="9" t="s">
        <v>107</v>
      </c>
      <c r="D32" s="9" t="s">
        <v>108</v>
      </c>
      <c r="E32" s="8" t="s">
        <v>22</v>
      </c>
      <c r="F32" s="13" t="s">
        <v>30</v>
      </c>
      <c r="G32" s="8">
        <v>0</v>
      </c>
      <c r="H32" s="11">
        <v>0</v>
      </c>
      <c r="I32" s="8" t="s">
        <v>31</v>
      </c>
      <c r="J32" s="8" t="s">
        <v>32</v>
      </c>
      <c r="K32" s="12" t="s">
        <v>109</v>
      </c>
    </row>
    <row r="33" spans="2:11" ht="28" customHeight="1">
      <c r="B33" s="8">
        <v>24</v>
      </c>
      <c r="C33" s="9" t="s">
        <v>110</v>
      </c>
      <c r="D33" s="9" t="s">
        <v>111</v>
      </c>
      <c r="E33" s="8" t="s">
        <v>22</v>
      </c>
      <c r="F33" s="13" t="s">
        <v>30</v>
      </c>
      <c r="G33" s="8">
        <v>0</v>
      </c>
      <c r="H33" s="11">
        <v>0</v>
      </c>
      <c r="I33" s="8" t="s">
        <v>31</v>
      </c>
      <c r="J33" s="8" t="s">
        <v>32</v>
      </c>
      <c r="K33" s="12" t="s">
        <v>112</v>
      </c>
    </row>
    <row r="34" spans="2:11" ht="28" customHeight="1">
      <c r="B34" s="8">
        <v>25</v>
      </c>
      <c r="C34" s="9" t="s">
        <v>113</v>
      </c>
      <c r="D34" s="9" t="s">
        <v>114</v>
      </c>
      <c r="E34" s="8" t="s">
        <v>115</v>
      </c>
      <c r="F34" s="10" t="s">
        <v>23</v>
      </c>
      <c r="G34" s="8">
        <v>1</v>
      </c>
      <c r="H34" s="11">
        <v>1704</v>
      </c>
      <c r="I34" s="8" t="s">
        <v>116</v>
      </c>
      <c r="J34" s="8" t="s">
        <v>25</v>
      </c>
      <c r="K34" s="12" t="s">
        <v>117</v>
      </c>
    </row>
    <row r="35" spans="2:11" ht="28" customHeight="1">
      <c r="B35" s="8">
        <v>26</v>
      </c>
      <c r="C35" s="9" t="s">
        <v>118</v>
      </c>
      <c r="D35" s="9" t="s">
        <v>119</v>
      </c>
      <c r="E35" s="8" t="s">
        <v>115</v>
      </c>
      <c r="F35" s="10" t="s">
        <v>23</v>
      </c>
      <c r="G35" s="8">
        <v>6</v>
      </c>
      <c r="H35" s="11">
        <v>10269</v>
      </c>
      <c r="I35" s="8" t="s">
        <v>120</v>
      </c>
      <c r="J35" s="8" t="s">
        <v>25</v>
      </c>
      <c r="K35" s="12" t="s">
        <v>121</v>
      </c>
    </row>
    <row r="36" spans="2:11" ht="28" customHeight="1">
      <c r="B36" s="8">
        <v>27</v>
      </c>
      <c r="C36" s="9" t="s">
        <v>122</v>
      </c>
      <c r="D36" s="9" t="s">
        <v>97</v>
      </c>
      <c r="E36" s="8" t="s">
        <v>115</v>
      </c>
      <c r="F36" s="10" t="s">
        <v>23</v>
      </c>
      <c r="G36" s="8">
        <v>4</v>
      </c>
      <c r="H36" s="11">
        <v>15031.5</v>
      </c>
      <c r="I36" s="8" t="s">
        <v>123</v>
      </c>
      <c r="J36" s="8" t="s">
        <v>25</v>
      </c>
      <c r="K36" s="12" t="s">
        <v>124</v>
      </c>
    </row>
    <row r="37" spans="2:11" ht="28" customHeight="1">
      <c r="B37" s="8">
        <v>28</v>
      </c>
      <c r="C37" s="9" t="s">
        <v>125</v>
      </c>
      <c r="D37" s="9" t="s">
        <v>111</v>
      </c>
      <c r="E37" s="8" t="s">
        <v>115</v>
      </c>
      <c r="F37" s="10" t="s">
        <v>23</v>
      </c>
      <c r="G37" s="8">
        <v>1</v>
      </c>
      <c r="H37" s="11">
        <v>2340</v>
      </c>
      <c r="I37" s="8" t="s">
        <v>126</v>
      </c>
      <c r="J37" s="8" t="s">
        <v>25</v>
      </c>
      <c r="K37" s="12" t="s">
        <v>127</v>
      </c>
    </row>
    <row r="38" spans="2:11" ht="28" customHeight="1">
      <c r="B38" s="8">
        <v>29</v>
      </c>
      <c r="C38" s="9" t="s">
        <v>128</v>
      </c>
      <c r="D38" s="9" t="s">
        <v>57</v>
      </c>
      <c r="E38" s="8" t="s">
        <v>115</v>
      </c>
      <c r="F38" s="10" t="s">
        <v>23</v>
      </c>
      <c r="G38" s="8">
        <v>1</v>
      </c>
      <c r="H38" s="11">
        <v>8880</v>
      </c>
      <c r="I38" s="8" t="s">
        <v>129</v>
      </c>
      <c r="J38" s="8" t="s">
        <v>25</v>
      </c>
      <c r="K38" s="12" t="s">
        <v>130</v>
      </c>
    </row>
    <row r="39" spans="2:11" ht="28" customHeight="1">
      <c r="B39" s="8">
        <v>30</v>
      </c>
      <c r="C39" s="9" t="s">
        <v>131</v>
      </c>
      <c r="D39" s="9" t="s">
        <v>132</v>
      </c>
      <c r="E39" s="8" t="s">
        <v>115</v>
      </c>
      <c r="F39" s="13" t="s">
        <v>30</v>
      </c>
      <c r="G39" s="8">
        <v>0</v>
      </c>
      <c r="H39" s="11">
        <v>0</v>
      </c>
      <c r="I39" s="8" t="s">
        <v>31</v>
      </c>
      <c r="J39" s="8" t="s">
        <v>32</v>
      </c>
      <c r="K39" s="12" t="s">
        <v>133</v>
      </c>
    </row>
    <row r="40" spans="2:11" ht="28" customHeight="1">
      <c r="B40" s="8">
        <v>31</v>
      </c>
      <c r="C40" s="9" t="s">
        <v>134</v>
      </c>
      <c r="D40" s="9" t="s">
        <v>111</v>
      </c>
      <c r="E40" s="8" t="s">
        <v>135</v>
      </c>
      <c r="F40" s="13" t="s">
        <v>30</v>
      </c>
      <c r="G40" s="8">
        <v>0</v>
      </c>
      <c r="H40" s="11">
        <v>0</v>
      </c>
      <c r="I40" s="8" t="s">
        <v>31</v>
      </c>
      <c r="J40" s="8" t="s">
        <v>32</v>
      </c>
      <c r="K40" s="12" t="s">
        <v>136</v>
      </c>
    </row>
    <row r="41" spans="2:11" ht="28" customHeight="1">
      <c r="B41" s="8">
        <v>32</v>
      </c>
      <c r="C41" s="9" t="s">
        <v>137</v>
      </c>
      <c r="D41" s="9" t="s">
        <v>138</v>
      </c>
      <c r="E41" s="8" t="s">
        <v>115</v>
      </c>
      <c r="F41" s="13" t="s">
        <v>30</v>
      </c>
      <c r="G41" s="8">
        <v>0</v>
      </c>
      <c r="H41" s="11">
        <v>0</v>
      </c>
      <c r="I41" s="8" t="s">
        <v>31</v>
      </c>
      <c r="J41" s="8" t="s">
        <v>32</v>
      </c>
      <c r="K41" s="12" t="s">
        <v>139</v>
      </c>
    </row>
    <row r="42" spans="2:11" ht="28" customHeight="1">
      <c r="B42" s="8">
        <v>33</v>
      </c>
      <c r="C42" s="9" t="s">
        <v>140</v>
      </c>
      <c r="D42" s="9" t="s">
        <v>85</v>
      </c>
      <c r="E42" s="8" t="s">
        <v>115</v>
      </c>
      <c r="F42" s="10" t="s">
        <v>23</v>
      </c>
      <c r="G42" s="8">
        <v>3</v>
      </c>
      <c r="H42" s="11">
        <v>3334.5</v>
      </c>
      <c r="I42" s="8" t="s">
        <v>141</v>
      </c>
      <c r="J42" s="8" t="s">
        <v>25</v>
      </c>
      <c r="K42" s="12" t="s">
        <v>142</v>
      </c>
    </row>
    <row r="43" spans="2:11" ht="28" customHeight="1">
      <c r="B43" s="8">
        <v>34</v>
      </c>
      <c r="C43" s="9" t="s">
        <v>143</v>
      </c>
      <c r="D43" s="9" t="s">
        <v>57</v>
      </c>
      <c r="E43" s="8" t="s">
        <v>144</v>
      </c>
      <c r="F43" s="10" t="s">
        <v>23</v>
      </c>
      <c r="G43" s="8">
        <v>3</v>
      </c>
      <c r="H43" s="11">
        <v>6654</v>
      </c>
      <c r="I43" s="8" t="s">
        <v>145</v>
      </c>
      <c r="J43" s="8" t="s">
        <v>25</v>
      </c>
      <c r="K43" s="12" t="s">
        <v>146</v>
      </c>
    </row>
    <row r="44" spans="2:11" ht="28" customHeight="1">
      <c r="B44" s="8">
        <v>35</v>
      </c>
      <c r="C44" s="9" t="s">
        <v>147</v>
      </c>
      <c r="D44" s="9" t="s">
        <v>148</v>
      </c>
      <c r="E44" s="8" t="s">
        <v>144</v>
      </c>
      <c r="F44" s="10" t="s">
        <v>23</v>
      </c>
      <c r="G44" s="8">
        <v>1</v>
      </c>
      <c r="H44" s="11">
        <v>1158</v>
      </c>
      <c r="I44" s="8" t="s">
        <v>149</v>
      </c>
      <c r="J44" s="8" t="s">
        <v>25</v>
      </c>
      <c r="K44" s="12" t="s">
        <v>150</v>
      </c>
    </row>
    <row r="45" spans="2:11" ht="28" customHeight="1">
      <c r="B45" s="8">
        <v>36</v>
      </c>
      <c r="C45" s="9" t="s">
        <v>151</v>
      </c>
      <c r="D45" s="9" t="s">
        <v>132</v>
      </c>
      <c r="E45" s="8" t="s">
        <v>144</v>
      </c>
      <c r="F45" s="13" t="s">
        <v>30</v>
      </c>
      <c r="G45" s="8">
        <v>0</v>
      </c>
      <c r="H45" s="11">
        <v>0</v>
      </c>
      <c r="I45" s="8" t="s">
        <v>31</v>
      </c>
      <c r="J45" s="8" t="s">
        <v>32</v>
      </c>
      <c r="K45" s="12" t="s">
        <v>152</v>
      </c>
    </row>
    <row r="46" spans="2:11" ht="28" customHeight="1">
      <c r="B46" s="8">
        <v>37</v>
      </c>
      <c r="C46" s="9" t="s">
        <v>153</v>
      </c>
      <c r="D46" s="9" t="s">
        <v>47</v>
      </c>
      <c r="E46" s="8" t="s">
        <v>144</v>
      </c>
      <c r="F46" s="10" t="s">
        <v>23</v>
      </c>
      <c r="G46" s="8">
        <v>1</v>
      </c>
      <c r="H46" s="11">
        <v>2955</v>
      </c>
      <c r="I46" s="8" t="s">
        <v>154</v>
      </c>
      <c r="J46" s="8" t="s">
        <v>25</v>
      </c>
      <c r="K46" s="12" t="s">
        <v>155</v>
      </c>
    </row>
    <row r="47" spans="2:11" ht="28" customHeight="1">
      <c r="B47" s="8">
        <v>38</v>
      </c>
      <c r="C47" s="9" t="s">
        <v>156</v>
      </c>
      <c r="D47" s="9" t="s">
        <v>157</v>
      </c>
      <c r="E47" s="8" t="s">
        <v>144</v>
      </c>
      <c r="F47" s="10" t="s">
        <v>23</v>
      </c>
      <c r="G47" s="8">
        <v>2</v>
      </c>
      <c r="H47" s="11">
        <v>3405</v>
      </c>
      <c r="I47" s="8" t="s">
        <v>158</v>
      </c>
      <c r="J47" s="8" t="s">
        <v>25</v>
      </c>
      <c r="K47" s="12" t="s">
        <v>159</v>
      </c>
    </row>
    <row r="48" spans="2:11" ht="28" customHeight="1">
      <c r="B48" s="8">
        <v>39</v>
      </c>
      <c r="C48" s="9" t="s">
        <v>160</v>
      </c>
      <c r="D48" s="9" t="s">
        <v>161</v>
      </c>
      <c r="E48" s="8" t="s">
        <v>162</v>
      </c>
      <c r="F48" s="13" t="s">
        <v>30</v>
      </c>
      <c r="G48" s="8">
        <v>0</v>
      </c>
      <c r="H48" s="11">
        <v>0</v>
      </c>
      <c r="I48" s="8" t="s">
        <v>31</v>
      </c>
      <c r="J48" s="8" t="s">
        <v>32</v>
      </c>
      <c r="K48" s="12" t="s">
        <v>163</v>
      </c>
    </row>
    <row r="49" spans="2:11" ht="28" customHeight="1">
      <c r="B49" s="8">
        <v>40</v>
      </c>
      <c r="C49" s="9" t="s">
        <v>164</v>
      </c>
      <c r="D49" s="9" t="s">
        <v>165</v>
      </c>
      <c r="E49" s="8" t="s">
        <v>144</v>
      </c>
      <c r="F49" s="10" t="s">
        <v>23</v>
      </c>
      <c r="G49" s="8">
        <v>1</v>
      </c>
      <c r="H49" s="11">
        <v>4226</v>
      </c>
      <c r="I49" s="8" t="s">
        <v>166</v>
      </c>
      <c r="J49" s="8" t="s">
        <v>25</v>
      </c>
      <c r="K49" s="12" t="s">
        <v>167</v>
      </c>
    </row>
    <row r="50" spans="2:11" ht="28" customHeight="1">
      <c r="B50" s="8">
        <v>41</v>
      </c>
      <c r="C50" s="9" t="s">
        <v>168</v>
      </c>
      <c r="D50" s="9" t="s">
        <v>169</v>
      </c>
      <c r="E50" s="8" t="s">
        <v>162</v>
      </c>
      <c r="F50" s="10" t="s">
        <v>23</v>
      </c>
      <c r="G50" s="8">
        <v>1</v>
      </c>
      <c r="H50" s="11">
        <v>3548.4</v>
      </c>
      <c r="I50" s="8" t="s">
        <v>170</v>
      </c>
      <c r="J50" s="8" t="s">
        <v>25</v>
      </c>
      <c r="K50" s="12" t="s">
        <v>171</v>
      </c>
    </row>
    <row r="51" spans="2:11" ht="28" customHeight="1">
      <c r="B51" s="8">
        <v>42</v>
      </c>
      <c r="C51" s="9" t="s">
        <v>172</v>
      </c>
      <c r="D51" s="9" t="s">
        <v>111</v>
      </c>
      <c r="E51" s="8" t="s">
        <v>144</v>
      </c>
      <c r="F51" s="13" t="s">
        <v>30</v>
      </c>
      <c r="G51" s="8">
        <v>0</v>
      </c>
      <c r="H51" s="11">
        <v>0</v>
      </c>
      <c r="I51" s="8" t="s">
        <v>31</v>
      </c>
      <c r="J51" s="8" t="s">
        <v>32</v>
      </c>
      <c r="K51" s="12" t="s">
        <v>173</v>
      </c>
    </row>
    <row r="52" spans="2:11" ht="28" customHeight="1">
      <c r="B52" s="8">
        <v>43</v>
      </c>
      <c r="C52" s="9" t="s">
        <v>174</v>
      </c>
      <c r="D52" s="9" t="s">
        <v>43</v>
      </c>
      <c r="E52" s="8" t="s">
        <v>144</v>
      </c>
      <c r="F52" s="10" t="s">
        <v>23</v>
      </c>
      <c r="G52" s="8">
        <v>2</v>
      </c>
      <c r="H52" s="11">
        <v>2450</v>
      </c>
      <c r="I52" s="8" t="s">
        <v>175</v>
      </c>
      <c r="J52" s="8" t="s">
        <v>25</v>
      </c>
      <c r="K52" s="12" t="s">
        <v>176</v>
      </c>
    </row>
    <row r="53" spans="2:11" ht="28" customHeight="1">
      <c r="B53" s="8">
        <v>44</v>
      </c>
      <c r="C53" s="9" t="s">
        <v>177</v>
      </c>
      <c r="D53" s="9" t="s">
        <v>178</v>
      </c>
      <c r="E53" s="8" t="s">
        <v>179</v>
      </c>
      <c r="F53" s="10" t="s">
        <v>23</v>
      </c>
      <c r="G53" s="8">
        <v>3</v>
      </c>
      <c r="H53" s="11">
        <v>8318</v>
      </c>
      <c r="I53" s="8" t="s">
        <v>180</v>
      </c>
      <c r="J53" s="8" t="s">
        <v>25</v>
      </c>
      <c r="K53" s="12" t="s">
        <v>181</v>
      </c>
    </row>
    <row r="54" spans="2:11" ht="28" customHeight="1">
      <c r="B54" s="8">
        <v>45</v>
      </c>
      <c r="C54" s="9" t="s">
        <v>182</v>
      </c>
      <c r="D54" s="9" t="s">
        <v>43</v>
      </c>
      <c r="E54" s="8" t="s">
        <v>179</v>
      </c>
      <c r="F54" s="13" t="s">
        <v>30</v>
      </c>
      <c r="G54" s="8">
        <v>0</v>
      </c>
      <c r="H54" s="11">
        <v>0</v>
      </c>
      <c r="I54" s="8" t="s">
        <v>31</v>
      </c>
      <c r="J54" s="8" t="s">
        <v>32</v>
      </c>
      <c r="K54" s="12" t="s">
        <v>183</v>
      </c>
    </row>
    <row r="55" spans="2:11" ht="28" customHeight="1">
      <c r="B55" s="8">
        <v>46</v>
      </c>
      <c r="C55" s="9" t="s">
        <v>184</v>
      </c>
      <c r="D55" s="9" t="s">
        <v>111</v>
      </c>
      <c r="E55" s="8" t="s">
        <v>179</v>
      </c>
      <c r="F55" s="13" t="s">
        <v>30</v>
      </c>
      <c r="G55" s="8">
        <v>0</v>
      </c>
      <c r="H55" s="11">
        <v>0</v>
      </c>
      <c r="I55" s="8" t="s">
        <v>31</v>
      </c>
      <c r="J55" s="8" t="s">
        <v>32</v>
      </c>
      <c r="K55" s="12" t="s">
        <v>185</v>
      </c>
    </row>
    <row r="56" spans="2:11" ht="28" customHeight="1">
      <c r="B56" s="8">
        <v>47</v>
      </c>
      <c r="C56" s="9" t="s">
        <v>186</v>
      </c>
      <c r="D56" s="9" t="s">
        <v>111</v>
      </c>
      <c r="E56" s="8" t="s">
        <v>187</v>
      </c>
      <c r="F56" s="13" t="s">
        <v>30</v>
      </c>
      <c r="G56" s="8">
        <v>0</v>
      </c>
      <c r="H56" s="11">
        <v>0</v>
      </c>
      <c r="I56" s="8" t="s">
        <v>188</v>
      </c>
      <c r="J56" s="8" t="s">
        <v>32</v>
      </c>
      <c r="K56" s="12" t="s">
        <v>189</v>
      </c>
    </row>
    <row r="57" spans="2:11" ht="28" customHeight="1">
      <c r="B57" s="8">
        <v>48</v>
      </c>
      <c r="C57" s="9" t="s">
        <v>190</v>
      </c>
      <c r="D57" s="9" t="s">
        <v>111</v>
      </c>
      <c r="E57" s="8" t="s">
        <v>187</v>
      </c>
      <c r="F57" s="13" t="s">
        <v>30</v>
      </c>
      <c r="G57" s="8">
        <v>0</v>
      </c>
      <c r="H57" s="11">
        <v>0</v>
      </c>
      <c r="I57" s="8" t="s">
        <v>31</v>
      </c>
      <c r="J57" s="8" t="s">
        <v>32</v>
      </c>
      <c r="K57" s="12" t="s">
        <v>191</v>
      </c>
    </row>
    <row r="58" spans="2:11" ht="28" customHeight="1">
      <c r="B58" s="8">
        <v>49</v>
      </c>
      <c r="C58" s="9" t="s">
        <v>192</v>
      </c>
      <c r="D58" s="9" t="s">
        <v>85</v>
      </c>
      <c r="E58" s="8" t="s">
        <v>187</v>
      </c>
      <c r="F58" s="13" t="s">
        <v>30</v>
      </c>
      <c r="G58" s="8">
        <v>0</v>
      </c>
      <c r="H58" s="11">
        <v>0</v>
      </c>
      <c r="I58" s="8" t="s">
        <v>31</v>
      </c>
      <c r="J58" s="8" t="s">
        <v>32</v>
      </c>
      <c r="K58" s="12" t="s">
        <v>193</v>
      </c>
    </row>
    <row r="59" spans="2:11" ht="28" customHeight="1">
      <c r="B59" s="8">
        <v>50</v>
      </c>
      <c r="C59" s="9" t="s">
        <v>194</v>
      </c>
      <c r="D59" s="9" t="s">
        <v>47</v>
      </c>
      <c r="E59" s="8" t="s">
        <v>187</v>
      </c>
      <c r="F59" s="10" t="s">
        <v>23</v>
      </c>
      <c r="G59" s="8">
        <v>1</v>
      </c>
      <c r="H59" s="11">
        <v>1047.5</v>
      </c>
      <c r="I59" s="8" t="s">
        <v>195</v>
      </c>
      <c r="J59" s="8" t="s">
        <v>25</v>
      </c>
      <c r="K59" s="12" t="s">
        <v>196</v>
      </c>
    </row>
    <row r="60" spans="2:11" ht="28" customHeight="1">
      <c r="B60" s="8">
        <v>51</v>
      </c>
      <c r="C60" s="9" t="s">
        <v>197</v>
      </c>
      <c r="D60" s="9" t="s">
        <v>198</v>
      </c>
      <c r="E60" s="8" t="s">
        <v>199</v>
      </c>
      <c r="F60" s="13" t="s">
        <v>30</v>
      </c>
      <c r="G60" s="8">
        <v>0</v>
      </c>
      <c r="H60" s="11">
        <v>0</v>
      </c>
      <c r="I60" s="8" t="s">
        <v>31</v>
      </c>
      <c r="J60" s="8" t="s">
        <v>32</v>
      </c>
      <c r="K60" s="12" t="s">
        <v>200</v>
      </c>
    </row>
    <row r="61" spans="2:11" ht="28" customHeight="1">
      <c r="B61" s="8">
        <v>52</v>
      </c>
      <c r="C61" s="9" t="s">
        <v>201</v>
      </c>
      <c r="D61" s="9" t="s">
        <v>85</v>
      </c>
      <c r="E61" s="8" t="s">
        <v>199</v>
      </c>
      <c r="F61" s="10" t="s">
        <v>23</v>
      </c>
      <c r="G61" s="8">
        <v>2</v>
      </c>
      <c r="H61" s="11">
        <v>2320</v>
      </c>
      <c r="I61" s="8" t="s">
        <v>202</v>
      </c>
      <c r="J61" s="8" t="s">
        <v>25</v>
      </c>
      <c r="K61" s="12" t="s">
        <v>203</v>
      </c>
    </row>
    <row r="62" spans="2:11" ht="24" customHeight="1">
      <c r="B62" s="14" t="s">
        <v>204</v>
      </c>
      <c r="C62" s="14" t="s">
        <v>205</v>
      </c>
      <c r="D62" s="14"/>
      <c r="E62" s="14"/>
      <c r="F62" s="15" t="s">
        <v>206</v>
      </c>
      <c r="G62" s="15">
        <f>SUM(G10:G61)</f>
        <v>0</v>
      </c>
      <c r="H62" s="16">
        <f>SUM(H10:H61)</f>
        <v>0</v>
      </c>
      <c r="I62" s="15" t="s">
        <v>9</v>
      </c>
      <c r="J62" s="14"/>
      <c r="K62" s="14"/>
    </row>
  </sheetData>
  <mergeCells count="12">
    <mergeCell ref="B2:K2"/>
    <mergeCell ref="B3:K3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</mergeCells>
  <printOptions horizontalCentered="1" gridLines="1"/>
  <pageMargins left="0.25" right="0.25" top="0.4" bottom="0.4" header="0.3" footer="0.3"/>
  <pageSetup paperSize="1" fitToHeight="0" orientation="landscape"/>
  <headerFooter>
    <oddFooter>&amp;LReporte Ejecutivo de Conciliación - Folio 809&amp;C&amp;P de &amp;N&amp;R&amp;D</oddFooter>
  </headerFooter>
  <rowBreaks count="1" manualBreakCount="1">
    <brk id="6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86"/>
  <sheetViews>
    <sheetView zoomScale="90" zoomScaleNormal="90" workbookViewId="0"/>
  </sheetViews>
  <sheetFormatPr defaultRowHeight="15"/>
  <cols>
    <col min="1" max="1" width="2.28515625" customWidth="1"/>
    <col min="2" max="2" width="8.7109375" customWidth="1"/>
    <col min="3" max="3" width="12.7109375" customWidth="1"/>
    <col min="4" max="4" width="22.7109375" customWidth="1"/>
    <col min="5" max="5" width="34.7109375" customWidth="1"/>
    <col min="6" max="6" width="20.7109375" customWidth="1"/>
    <col min="7" max="7" width="14.7109375" customWidth="1"/>
    <col min="8" max="8" width="18.7109375" customWidth="1"/>
  </cols>
  <sheetData>
    <row r="2" spans="2:8" ht="28" customHeight="1">
      <c r="B2" s="1" t="s">
        <v>207</v>
      </c>
      <c r="C2" s="1"/>
      <c r="D2" s="1"/>
      <c r="E2" s="1"/>
      <c r="F2" s="1"/>
      <c r="G2" s="1"/>
      <c r="H2" s="1"/>
    </row>
    <row r="3" spans="2:8" ht="18" customHeight="1">
      <c r="B3" s="2" t="s">
        <v>208</v>
      </c>
      <c r="C3" s="2"/>
      <c r="D3" s="2"/>
      <c r="E3" s="2"/>
      <c r="F3" s="2"/>
      <c r="G3" s="2"/>
      <c r="H3" s="2"/>
    </row>
    <row r="6" spans="2:8" ht="22" customHeight="1">
      <c r="B6" s="7" t="s">
        <v>209</v>
      </c>
      <c r="C6" s="7" t="s">
        <v>210</v>
      </c>
      <c r="D6" s="7" t="s">
        <v>211</v>
      </c>
      <c r="E6" s="7" t="s">
        <v>212</v>
      </c>
      <c r="F6" s="7" t="s">
        <v>213</v>
      </c>
      <c r="G6" s="7" t="s">
        <v>214</v>
      </c>
      <c r="H6" s="7" t="s">
        <v>215</v>
      </c>
    </row>
    <row r="7" spans="2:8" ht="22" customHeight="1">
      <c r="B7" s="8" t="s">
        <v>216</v>
      </c>
      <c r="C7" s="8" t="s">
        <v>217</v>
      </c>
      <c r="D7" s="9" t="s">
        <v>80</v>
      </c>
      <c r="E7" s="12" t="s">
        <v>218</v>
      </c>
      <c r="F7" s="9" t="s">
        <v>81</v>
      </c>
      <c r="G7" s="11">
        <v>1407.25</v>
      </c>
      <c r="H7" s="8" t="s">
        <v>25</v>
      </c>
    </row>
    <row r="8" spans="2:8" ht="22" customHeight="1">
      <c r="B8" s="8" t="s">
        <v>219</v>
      </c>
      <c r="C8" s="8" t="s">
        <v>220</v>
      </c>
      <c r="D8" s="9" t="s">
        <v>80</v>
      </c>
      <c r="E8" s="12" t="s">
        <v>221</v>
      </c>
      <c r="F8" s="9" t="s">
        <v>81</v>
      </c>
      <c r="G8" s="11">
        <v>476</v>
      </c>
      <c r="H8" s="8" t="s">
        <v>25</v>
      </c>
    </row>
    <row r="9" spans="2:8" ht="22" customHeight="1">
      <c r="B9" s="8" t="s">
        <v>222</v>
      </c>
      <c r="C9" s="8" t="s">
        <v>220</v>
      </c>
      <c r="D9" s="9" t="s">
        <v>66</v>
      </c>
      <c r="E9" s="12" t="s">
        <v>223</v>
      </c>
      <c r="F9" s="9" t="s">
        <v>67</v>
      </c>
      <c r="G9" s="11">
        <v>11070.2</v>
      </c>
      <c r="H9" s="8" t="s">
        <v>25</v>
      </c>
    </row>
    <row r="10" spans="2:8" ht="22" customHeight="1">
      <c r="B10" s="8" t="s">
        <v>224</v>
      </c>
      <c r="C10" s="8" t="s">
        <v>220</v>
      </c>
      <c r="D10" s="9" t="s">
        <v>90</v>
      </c>
      <c r="E10" s="12" t="s">
        <v>225</v>
      </c>
      <c r="F10" s="9" t="s">
        <v>85</v>
      </c>
      <c r="G10" s="11">
        <v>3636.5</v>
      </c>
      <c r="H10" s="8" t="s">
        <v>25</v>
      </c>
    </row>
    <row r="11" spans="2:8" ht="22" customHeight="1">
      <c r="B11" s="8" t="s">
        <v>226</v>
      </c>
      <c r="C11" s="8" t="s">
        <v>220</v>
      </c>
      <c r="D11" s="9" t="s">
        <v>84</v>
      </c>
      <c r="E11" s="12" t="s">
        <v>227</v>
      </c>
      <c r="F11" s="9" t="s">
        <v>85</v>
      </c>
      <c r="G11" s="11">
        <v>2201</v>
      </c>
      <c r="H11" s="8" t="s">
        <v>25</v>
      </c>
    </row>
    <row r="12" spans="2:8" ht="22" customHeight="1">
      <c r="B12" s="8" t="s">
        <v>228</v>
      </c>
      <c r="C12" s="8" t="s">
        <v>220</v>
      </c>
      <c r="D12" s="9" t="s">
        <v>201</v>
      </c>
      <c r="E12" s="12" t="s">
        <v>229</v>
      </c>
      <c r="F12" s="9" t="s">
        <v>85</v>
      </c>
      <c r="G12" s="11">
        <v>1158</v>
      </c>
      <c r="H12" s="8" t="s">
        <v>25</v>
      </c>
    </row>
    <row r="13" spans="2:8" ht="22" customHeight="1">
      <c r="B13" s="8" t="s">
        <v>60</v>
      </c>
      <c r="C13" s="8" t="s">
        <v>230</v>
      </c>
      <c r="D13" s="9" t="s">
        <v>59</v>
      </c>
      <c r="E13" s="12" t="s">
        <v>231</v>
      </c>
      <c r="F13" s="9" t="s">
        <v>43</v>
      </c>
      <c r="G13" s="11">
        <v>5715</v>
      </c>
      <c r="H13" s="8" t="s">
        <v>25</v>
      </c>
    </row>
    <row r="14" spans="2:8" ht="22" customHeight="1">
      <c r="B14" s="8" t="s">
        <v>232</v>
      </c>
      <c r="C14" s="8" t="s">
        <v>233</v>
      </c>
      <c r="D14" s="9" t="s">
        <v>74</v>
      </c>
      <c r="E14" s="12" t="s">
        <v>234</v>
      </c>
      <c r="F14" s="9" t="s">
        <v>43</v>
      </c>
      <c r="G14" s="11">
        <v>5033</v>
      </c>
      <c r="H14" s="8" t="s">
        <v>25</v>
      </c>
    </row>
    <row r="15" spans="2:8" ht="22" customHeight="1">
      <c r="B15" s="8" t="s">
        <v>154</v>
      </c>
      <c r="C15" s="8" t="s">
        <v>230</v>
      </c>
      <c r="D15" s="9" t="s">
        <v>153</v>
      </c>
      <c r="E15" s="12" t="s">
        <v>235</v>
      </c>
      <c r="F15" s="9" t="s">
        <v>47</v>
      </c>
      <c r="G15" s="11">
        <v>2955</v>
      </c>
      <c r="H15" s="8" t="s">
        <v>25</v>
      </c>
    </row>
    <row r="16" spans="2:8" ht="22" customHeight="1">
      <c r="B16" s="8" t="s">
        <v>236</v>
      </c>
      <c r="C16" s="8" t="s">
        <v>233</v>
      </c>
      <c r="D16" s="9" t="s">
        <v>90</v>
      </c>
      <c r="E16" s="12" t="s">
        <v>225</v>
      </c>
      <c r="F16" s="9" t="s">
        <v>85</v>
      </c>
      <c r="G16" s="11">
        <v>2658</v>
      </c>
      <c r="H16" s="8" t="s">
        <v>25</v>
      </c>
    </row>
    <row r="17" spans="2:8" ht="22" customHeight="1">
      <c r="B17" s="8" t="s">
        <v>237</v>
      </c>
      <c r="C17" s="8" t="s">
        <v>233</v>
      </c>
      <c r="D17" s="9" t="s">
        <v>46</v>
      </c>
      <c r="E17" s="12" t="s">
        <v>238</v>
      </c>
      <c r="F17" s="9" t="s">
        <v>47</v>
      </c>
      <c r="G17" s="11">
        <v>1032</v>
      </c>
      <c r="H17" s="8" t="s">
        <v>25</v>
      </c>
    </row>
    <row r="18" spans="2:8" ht="22" customHeight="1">
      <c r="B18" s="8" t="s">
        <v>239</v>
      </c>
      <c r="C18" s="8" t="s">
        <v>233</v>
      </c>
      <c r="D18" s="9" t="s">
        <v>104</v>
      </c>
      <c r="E18" s="12" t="s">
        <v>240</v>
      </c>
      <c r="F18" s="9" t="s">
        <v>67</v>
      </c>
      <c r="G18" s="11">
        <v>2768</v>
      </c>
      <c r="H18" s="8" t="s">
        <v>25</v>
      </c>
    </row>
    <row r="19" spans="2:8" ht="22" customHeight="1">
      <c r="B19" s="8" t="s">
        <v>241</v>
      </c>
      <c r="C19" s="8" t="s">
        <v>242</v>
      </c>
      <c r="D19" s="9" t="s">
        <v>143</v>
      </c>
      <c r="E19" s="12" t="s">
        <v>243</v>
      </c>
      <c r="F19" s="9" t="s">
        <v>57</v>
      </c>
      <c r="G19" s="11">
        <v>2088</v>
      </c>
      <c r="H19" s="8" t="s">
        <v>25</v>
      </c>
    </row>
    <row r="20" spans="2:8" ht="22" customHeight="1">
      <c r="B20" s="8" t="s">
        <v>244</v>
      </c>
      <c r="C20" s="8" t="s">
        <v>245</v>
      </c>
      <c r="D20" s="9" t="s">
        <v>122</v>
      </c>
      <c r="E20" s="12" t="s">
        <v>246</v>
      </c>
      <c r="F20" s="9" t="s">
        <v>97</v>
      </c>
      <c r="G20" s="11">
        <v>6021</v>
      </c>
      <c r="H20" s="8" t="s">
        <v>25</v>
      </c>
    </row>
    <row r="21" spans="2:8" ht="22" customHeight="1">
      <c r="B21" s="8" t="s">
        <v>247</v>
      </c>
      <c r="C21" s="8" t="s">
        <v>248</v>
      </c>
      <c r="D21" s="9" t="s">
        <v>156</v>
      </c>
      <c r="E21" s="12" t="s">
        <v>249</v>
      </c>
      <c r="F21" s="9" t="s">
        <v>157</v>
      </c>
      <c r="G21" s="11">
        <v>1697</v>
      </c>
      <c r="H21" s="8" t="s">
        <v>25</v>
      </c>
    </row>
    <row r="22" spans="2:8" ht="22" customHeight="1">
      <c r="B22" s="8" t="s">
        <v>166</v>
      </c>
      <c r="C22" s="8" t="s">
        <v>248</v>
      </c>
      <c r="D22" s="9" t="s">
        <v>164</v>
      </c>
      <c r="E22" s="12" t="s">
        <v>250</v>
      </c>
      <c r="F22" s="9" t="s">
        <v>165</v>
      </c>
      <c r="G22" s="11">
        <v>4226</v>
      </c>
      <c r="H22" s="8" t="s">
        <v>25</v>
      </c>
    </row>
    <row r="23" spans="2:8" ht="22" customHeight="1">
      <c r="B23" s="8" t="s">
        <v>251</v>
      </c>
      <c r="C23" s="8" t="s">
        <v>248</v>
      </c>
      <c r="D23" s="9" t="s">
        <v>174</v>
      </c>
      <c r="E23" s="12" t="s">
        <v>252</v>
      </c>
      <c r="F23" s="9" t="s">
        <v>43</v>
      </c>
      <c r="G23" s="11">
        <v>1400</v>
      </c>
      <c r="H23" s="8" t="s">
        <v>25</v>
      </c>
    </row>
    <row r="24" spans="2:8" ht="22" customHeight="1">
      <c r="B24" s="8" t="s">
        <v>253</v>
      </c>
      <c r="C24" s="8" t="s">
        <v>254</v>
      </c>
      <c r="D24" s="9" t="s">
        <v>80</v>
      </c>
      <c r="E24" s="12" t="s">
        <v>255</v>
      </c>
      <c r="F24" s="9" t="s">
        <v>81</v>
      </c>
      <c r="G24" s="11">
        <v>675</v>
      </c>
      <c r="H24" s="8" t="s">
        <v>25</v>
      </c>
    </row>
    <row r="25" spans="2:8" ht="22" customHeight="1">
      <c r="B25" s="8" t="s">
        <v>149</v>
      </c>
      <c r="C25" s="8" t="s">
        <v>256</v>
      </c>
      <c r="D25" s="9" t="s">
        <v>147</v>
      </c>
      <c r="E25" s="12" t="s">
        <v>257</v>
      </c>
      <c r="F25" s="9" t="s">
        <v>148</v>
      </c>
      <c r="G25" s="11">
        <v>1158</v>
      </c>
      <c r="H25" s="8" t="s">
        <v>25</v>
      </c>
    </row>
    <row r="26" spans="2:8" ht="22" customHeight="1">
      <c r="B26" s="8" t="s">
        <v>258</v>
      </c>
      <c r="C26" s="8" t="s">
        <v>248</v>
      </c>
      <c r="D26" s="9" t="s">
        <v>156</v>
      </c>
      <c r="E26" s="12" t="s">
        <v>249</v>
      </c>
      <c r="F26" s="9" t="s">
        <v>157</v>
      </c>
      <c r="G26" s="11">
        <v>1708</v>
      </c>
      <c r="H26" s="8" t="s">
        <v>25</v>
      </c>
    </row>
    <row r="27" spans="2:8" ht="22" customHeight="1">
      <c r="B27" s="8" t="s">
        <v>259</v>
      </c>
      <c r="C27" s="8" t="s">
        <v>260</v>
      </c>
      <c r="D27" s="9" t="s">
        <v>51</v>
      </c>
      <c r="E27" s="12" t="s">
        <v>261</v>
      </c>
      <c r="F27" s="9" t="s">
        <v>52</v>
      </c>
      <c r="G27" s="11">
        <v>1333.7</v>
      </c>
      <c r="H27" s="8" t="s">
        <v>25</v>
      </c>
    </row>
    <row r="28" spans="2:8" ht="22" customHeight="1">
      <c r="B28" s="8" t="s">
        <v>262</v>
      </c>
      <c r="C28" s="8" t="s">
        <v>260</v>
      </c>
      <c r="D28" s="9" t="s">
        <v>38</v>
      </c>
      <c r="E28" s="12" t="s">
        <v>263</v>
      </c>
      <c r="F28" s="9" t="s">
        <v>39</v>
      </c>
      <c r="G28" s="11">
        <v>480</v>
      </c>
      <c r="H28" s="8" t="s">
        <v>25</v>
      </c>
    </row>
    <row r="29" spans="2:8" ht="22" customHeight="1">
      <c r="B29" s="8" t="s">
        <v>264</v>
      </c>
      <c r="C29" s="8" t="s">
        <v>265</v>
      </c>
      <c r="D29" s="9" t="s">
        <v>140</v>
      </c>
      <c r="E29" s="12" t="s">
        <v>266</v>
      </c>
      <c r="F29" s="9" t="s">
        <v>85</v>
      </c>
      <c r="G29" s="11">
        <v>1791</v>
      </c>
      <c r="H29" s="8" t="s">
        <v>25</v>
      </c>
    </row>
    <row r="30" spans="2:8" ht="22" customHeight="1">
      <c r="B30" s="8" t="s">
        <v>267</v>
      </c>
      <c r="C30" s="8" t="s">
        <v>265</v>
      </c>
      <c r="D30" s="9" t="s">
        <v>100</v>
      </c>
      <c r="E30" s="12" t="s">
        <v>268</v>
      </c>
      <c r="F30" s="9" t="s">
        <v>101</v>
      </c>
      <c r="G30" s="11">
        <v>1584</v>
      </c>
      <c r="H30" s="8" t="s">
        <v>25</v>
      </c>
    </row>
    <row r="31" spans="2:8" ht="22" customHeight="1">
      <c r="B31" s="8" t="s">
        <v>269</v>
      </c>
      <c r="C31" s="8" t="s">
        <v>270</v>
      </c>
      <c r="D31" s="9" t="s">
        <v>174</v>
      </c>
      <c r="E31" s="12" t="s">
        <v>252</v>
      </c>
      <c r="F31" s="9" t="s">
        <v>43</v>
      </c>
      <c r="G31" s="11">
        <v>1050</v>
      </c>
      <c r="H31" s="8" t="s">
        <v>25</v>
      </c>
    </row>
    <row r="32" spans="2:8" ht="22" customHeight="1">
      <c r="B32" s="8" t="s">
        <v>271</v>
      </c>
      <c r="C32" s="8" t="s">
        <v>272</v>
      </c>
      <c r="D32" s="9" t="s">
        <v>177</v>
      </c>
      <c r="E32" s="12" t="s">
        <v>273</v>
      </c>
      <c r="F32" s="9" t="s">
        <v>178</v>
      </c>
      <c r="G32" s="11">
        <v>4580</v>
      </c>
      <c r="H32" s="8" t="s">
        <v>25</v>
      </c>
    </row>
    <row r="33" spans="2:8" ht="22" customHeight="1">
      <c r="B33" s="8" t="s">
        <v>116</v>
      </c>
      <c r="C33" s="8" t="s">
        <v>272</v>
      </c>
      <c r="D33" s="9" t="s">
        <v>113</v>
      </c>
      <c r="E33" s="12" t="s">
        <v>274</v>
      </c>
      <c r="F33" s="9" t="s">
        <v>114</v>
      </c>
      <c r="G33" s="11">
        <v>1704</v>
      </c>
      <c r="H33" s="8" t="s">
        <v>25</v>
      </c>
    </row>
    <row r="34" spans="2:8" ht="22" customHeight="1">
      <c r="B34" s="8" t="s">
        <v>275</v>
      </c>
      <c r="C34" s="8" t="s">
        <v>276</v>
      </c>
      <c r="D34" s="9" t="s">
        <v>34</v>
      </c>
      <c r="E34" s="12" t="s">
        <v>277</v>
      </c>
      <c r="F34" s="9" t="s">
        <v>35</v>
      </c>
      <c r="G34" s="11">
        <v>2243.75</v>
      </c>
      <c r="H34" s="8" t="s">
        <v>25</v>
      </c>
    </row>
    <row r="35" spans="2:8" ht="22" customHeight="1">
      <c r="B35" s="8" t="s">
        <v>278</v>
      </c>
      <c r="C35" s="8" t="s">
        <v>276</v>
      </c>
      <c r="D35" s="9" t="s">
        <v>20</v>
      </c>
      <c r="E35" s="12" t="s">
        <v>279</v>
      </c>
      <c r="F35" s="9" t="s">
        <v>21</v>
      </c>
      <c r="G35" s="11">
        <v>2648</v>
      </c>
      <c r="H35" s="8" t="s">
        <v>25</v>
      </c>
    </row>
    <row r="36" spans="2:8" ht="22" customHeight="1">
      <c r="B36" s="8" t="s">
        <v>280</v>
      </c>
      <c r="C36" s="8" t="s">
        <v>281</v>
      </c>
      <c r="D36" s="9" t="s">
        <v>90</v>
      </c>
      <c r="E36" s="12" t="s">
        <v>282</v>
      </c>
      <c r="F36" s="9" t="s">
        <v>85</v>
      </c>
      <c r="G36" s="11">
        <v>1378.5</v>
      </c>
      <c r="H36" s="8" t="s">
        <v>25</v>
      </c>
    </row>
    <row r="37" spans="2:8" ht="22" customHeight="1">
      <c r="B37" s="8" t="s">
        <v>283</v>
      </c>
      <c r="C37" s="8" t="s">
        <v>281</v>
      </c>
      <c r="D37" s="9" t="s">
        <v>122</v>
      </c>
      <c r="E37" s="12" t="s">
        <v>246</v>
      </c>
      <c r="F37" s="9" t="s">
        <v>97</v>
      </c>
      <c r="G37" s="11">
        <v>1830</v>
      </c>
      <c r="H37" s="8" t="s">
        <v>25</v>
      </c>
    </row>
    <row r="38" spans="2:8" ht="22" customHeight="1">
      <c r="B38" s="8" t="s">
        <v>284</v>
      </c>
      <c r="C38" s="8" t="s">
        <v>281</v>
      </c>
      <c r="D38" s="9" t="s">
        <v>118</v>
      </c>
      <c r="E38" s="12" t="s">
        <v>285</v>
      </c>
      <c r="F38" s="9" t="s">
        <v>119</v>
      </c>
      <c r="G38" s="11">
        <v>1692</v>
      </c>
      <c r="H38" s="8" t="s">
        <v>25</v>
      </c>
    </row>
    <row r="39" spans="2:8" ht="22" customHeight="1">
      <c r="B39" s="8" t="s">
        <v>286</v>
      </c>
      <c r="C39" s="8" t="s">
        <v>287</v>
      </c>
      <c r="D39" s="9" t="s">
        <v>51</v>
      </c>
      <c r="E39" s="12" t="s">
        <v>288</v>
      </c>
      <c r="F39" s="9" t="s">
        <v>52</v>
      </c>
      <c r="G39" s="11">
        <v>675</v>
      </c>
      <c r="H39" s="8" t="s">
        <v>25</v>
      </c>
    </row>
    <row r="40" spans="2:8" ht="22" customHeight="1">
      <c r="B40" s="8" t="s">
        <v>289</v>
      </c>
      <c r="C40" s="8" t="s">
        <v>290</v>
      </c>
      <c r="D40" s="9" t="s">
        <v>201</v>
      </c>
      <c r="E40" s="12" t="s">
        <v>291</v>
      </c>
      <c r="F40" s="9" t="s">
        <v>85</v>
      </c>
      <c r="G40" s="11">
        <v>1162</v>
      </c>
      <c r="H40" s="8" t="s">
        <v>25</v>
      </c>
    </row>
    <row r="41" spans="2:8" ht="22" customHeight="1">
      <c r="B41" s="8" t="s">
        <v>292</v>
      </c>
      <c r="C41" s="8" t="s">
        <v>293</v>
      </c>
      <c r="D41" s="9" t="s">
        <v>46</v>
      </c>
      <c r="E41" s="12" t="s">
        <v>238</v>
      </c>
      <c r="F41" s="9" t="s">
        <v>47</v>
      </c>
      <c r="G41" s="11">
        <v>2851.5</v>
      </c>
      <c r="H41" s="8" t="s">
        <v>25</v>
      </c>
    </row>
    <row r="42" spans="2:8" ht="22" customHeight="1">
      <c r="B42" s="8" t="s">
        <v>294</v>
      </c>
      <c r="C42" s="8" t="s">
        <v>293</v>
      </c>
      <c r="D42" s="9" t="s">
        <v>118</v>
      </c>
      <c r="E42" s="12" t="s">
        <v>295</v>
      </c>
      <c r="F42" s="9" t="s">
        <v>119</v>
      </c>
      <c r="G42" s="11">
        <v>420</v>
      </c>
      <c r="H42" s="8" t="s">
        <v>25</v>
      </c>
    </row>
    <row r="43" spans="2:8" ht="22" customHeight="1">
      <c r="B43" s="8" t="s">
        <v>296</v>
      </c>
      <c r="C43" s="8" t="s">
        <v>297</v>
      </c>
      <c r="D43" s="9" t="s">
        <v>80</v>
      </c>
      <c r="E43" s="12" t="s">
        <v>218</v>
      </c>
      <c r="F43" s="9" t="s">
        <v>81</v>
      </c>
      <c r="G43" s="11">
        <v>1590.75</v>
      </c>
      <c r="H43" s="8" t="s">
        <v>25</v>
      </c>
    </row>
    <row r="44" spans="2:8" ht="22" customHeight="1">
      <c r="B44" s="8" t="s">
        <v>298</v>
      </c>
      <c r="C44" s="8" t="s">
        <v>299</v>
      </c>
      <c r="D44" s="9" t="s">
        <v>143</v>
      </c>
      <c r="E44" s="12" t="s">
        <v>300</v>
      </c>
      <c r="F44" s="9" t="s">
        <v>57</v>
      </c>
      <c r="G44" s="11">
        <v>1566</v>
      </c>
      <c r="H44" s="8" t="s">
        <v>25</v>
      </c>
    </row>
    <row r="45" spans="2:8" ht="22" customHeight="1">
      <c r="B45" s="8" t="s">
        <v>301</v>
      </c>
      <c r="C45" s="8" t="s">
        <v>302</v>
      </c>
      <c r="D45" s="9" t="s">
        <v>118</v>
      </c>
      <c r="E45" s="12" t="s">
        <v>295</v>
      </c>
      <c r="F45" s="9" t="s">
        <v>119</v>
      </c>
      <c r="G45" s="11">
        <v>60</v>
      </c>
      <c r="H45" s="8" t="s">
        <v>25</v>
      </c>
    </row>
    <row r="46" spans="2:8" ht="22" customHeight="1">
      <c r="B46" s="8" t="s">
        <v>303</v>
      </c>
      <c r="C46" s="8" t="s">
        <v>304</v>
      </c>
      <c r="D46" s="9" t="s">
        <v>80</v>
      </c>
      <c r="E46" s="12" t="s">
        <v>221</v>
      </c>
      <c r="F46" s="9" t="s">
        <v>81</v>
      </c>
      <c r="G46" s="11">
        <v>450</v>
      </c>
      <c r="H46" s="8" t="s">
        <v>25</v>
      </c>
    </row>
    <row r="47" spans="2:8" ht="22" customHeight="1">
      <c r="B47" s="8" t="s">
        <v>126</v>
      </c>
      <c r="C47" s="8" t="s">
        <v>305</v>
      </c>
      <c r="D47" s="9" t="s">
        <v>125</v>
      </c>
      <c r="E47" s="12" t="s">
        <v>306</v>
      </c>
      <c r="F47" s="9" t="s">
        <v>111</v>
      </c>
      <c r="G47" s="11">
        <v>2340</v>
      </c>
      <c r="H47" s="8" t="s">
        <v>25</v>
      </c>
    </row>
    <row r="48" spans="2:8" ht="22" customHeight="1">
      <c r="B48" s="8" t="s">
        <v>307</v>
      </c>
      <c r="C48" s="8" t="s">
        <v>308</v>
      </c>
      <c r="D48" s="9" t="s">
        <v>38</v>
      </c>
      <c r="E48" s="12" t="s">
        <v>263</v>
      </c>
      <c r="F48" s="9" t="s">
        <v>39</v>
      </c>
      <c r="G48" s="11">
        <v>7230.8</v>
      </c>
      <c r="H48" s="8" t="s">
        <v>25</v>
      </c>
    </row>
    <row r="49" spans="2:8" ht="22" customHeight="1">
      <c r="B49" s="8" t="s">
        <v>309</v>
      </c>
      <c r="C49" s="8" t="s">
        <v>310</v>
      </c>
      <c r="D49" s="9" t="s">
        <v>100</v>
      </c>
      <c r="E49" s="12" t="s">
        <v>311</v>
      </c>
      <c r="F49" s="9" t="s">
        <v>101</v>
      </c>
      <c r="G49" s="11">
        <v>1584</v>
      </c>
      <c r="H49" s="8" t="s">
        <v>25</v>
      </c>
    </row>
    <row r="50" spans="2:8" ht="22" customHeight="1">
      <c r="B50" s="8" t="s">
        <v>195</v>
      </c>
      <c r="C50" s="8" t="s">
        <v>310</v>
      </c>
      <c r="D50" s="9" t="s">
        <v>194</v>
      </c>
      <c r="E50" s="12" t="s">
        <v>312</v>
      </c>
      <c r="F50" s="9" t="s">
        <v>47</v>
      </c>
      <c r="G50" s="11">
        <v>1047.5</v>
      </c>
      <c r="H50" s="8" t="s">
        <v>25</v>
      </c>
    </row>
    <row r="51" spans="2:8" ht="22" customHeight="1">
      <c r="B51" s="8" t="s">
        <v>98</v>
      </c>
      <c r="C51" s="8" t="s">
        <v>313</v>
      </c>
      <c r="D51" s="9" t="s">
        <v>96</v>
      </c>
      <c r="E51" s="12" t="s">
        <v>314</v>
      </c>
      <c r="F51" s="9" t="s">
        <v>97</v>
      </c>
      <c r="G51" s="11">
        <v>1456</v>
      </c>
      <c r="H51" s="8" t="s">
        <v>25</v>
      </c>
    </row>
    <row r="52" spans="2:8" ht="22" customHeight="1">
      <c r="B52" s="8" t="s">
        <v>315</v>
      </c>
      <c r="C52" s="8" t="s">
        <v>316</v>
      </c>
      <c r="D52" s="9" t="s">
        <v>140</v>
      </c>
      <c r="E52" s="12" t="s">
        <v>266</v>
      </c>
      <c r="F52" s="9" t="s">
        <v>85</v>
      </c>
      <c r="G52" s="11">
        <v>787.5</v>
      </c>
      <c r="H52" s="8" t="s">
        <v>25</v>
      </c>
    </row>
    <row r="53" spans="2:8" ht="22" customHeight="1">
      <c r="B53" s="8" t="s">
        <v>317</v>
      </c>
      <c r="C53" s="8" t="s">
        <v>316</v>
      </c>
      <c r="D53" s="9" t="s">
        <v>42</v>
      </c>
      <c r="E53" s="12" t="s">
        <v>318</v>
      </c>
      <c r="F53" s="9" t="s">
        <v>43</v>
      </c>
      <c r="G53" s="11">
        <v>8740</v>
      </c>
      <c r="H53" s="8" t="s">
        <v>25</v>
      </c>
    </row>
    <row r="54" spans="2:8" ht="22" customHeight="1">
      <c r="B54" s="8" t="s">
        <v>319</v>
      </c>
      <c r="C54" s="8" t="s">
        <v>320</v>
      </c>
      <c r="D54" s="9" t="s">
        <v>34</v>
      </c>
      <c r="E54" s="12" t="s">
        <v>277</v>
      </c>
      <c r="F54" s="9" t="s">
        <v>35</v>
      </c>
      <c r="G54" s="11">
        <v>2451.5</v>
      </c>
      <c r="H54" s="8" t="s">
        <v>25</v>
      </c>
    </row>
    <row r="55" spans="2:8" ht="22" customHeight="1">
      <c r="B55" s="8" t="s">
        <v>321</v>
      </c>
      <c r="C55" s="8" t="s">
        <v>320</v>
      </c>
      <c r="D55" s="9" t="s">
        <v>62</v>
      </c>
      <c r="E55" s="12" t="s">
        <v>322</v>
      </c>
      <c r="F55" s="9" t="s">
        <v>63</v>
      </c>
      <c r="G55" s="11">
        <v>2385.35</v>
      </c>
      <c r="H55" s="8" t="s">
        <v>25</v>
      </c>
    </row>
    <row r="56" spans="2:8" ht="22" customHeight="1">
      <c r="B56" s="8" t="s">
        <v>323</v>
      </c>
      <c r="C56" s="8" t="s">
        <v>324</v>
      </c>
      <c r="D56" s="9" t="s">
        <v>177</v>
      </c>
      <c r="E56" s="12" t="s">
        <v>325</v>
      </c>
      <c r="F56" s="9" t="s">
        <v>178</v>
      </c>
      <c r="G56" s="11">
        <v>1560</v>
      </c>
      <c r="H56" s="8" t="s">
        <v>25</v>
      </c>
    </row>
    <row r="57" spans="2:8" ht="22" customHeight="1">
      <c r="B57" s="8" t="s">
        <v>326</v>
      </c>
      <c r="C57" s="8" t="s">
        <v>324</v>
      </c>
      <c r="D57" s="9" t="s">
        <v>118</v>
      </c>
      <c r="E57" s="12" t="s">
        <v>327</v>
      </c>
      <c r="F57" s="9" t="s">
        <v>119</v>
      </c>
      <c r="G57" s="11">
        <v>4087</v>
      </c>
      <c r="H57" s="8" t="s">
        <v>25</v>
      </c>
    </row>
    <row r="58" spans="2:8" ht="22" customHeight="1">
      <c r="B58" s="8" t="s">
        <v>328</v>
      </c>
      <c r="C58" s="8" t="s">
        <v>324</v>
      </c>
      <c r="D58" s="9" t="s">
        <v>42</v>
      </c>
      <c r="E58" s="12" t="s">
        <v>329</v>
      </c>
      <c r="F58" s="9" t="s">
        <v>43</v>
      </c>
      <c r="G58" s="11">
        <v>3567</v>
      </c>
      <c r="H58" s="8" t="s">
        <v>25</v>
      </c>
    </row>
    <row r="59" spans="2:8" ht="22" customHeight="1">
      <c r="B59" s="8" t="s">
        <v>330</v>
      </c>
      <c r="C59" s="8" t="s">
        <v>331</v>
      </c>
      <c r="D59" s="9" t="s">
        <v>140</v>
      </c>
      <c r="E59" s="12" t="s">
        <v>266</v>
      </c>
      <c r="F59" s="9" t="s">
        <v>85</v>
      </c>
      <c r="G59" s="11">
        <v>756</v>
      </c>
      <c r="H59" s="8" t="s">
        <v>25</v>
      </c>
    </row>
    <row r="60" spans="2:8" ht="22" customHeight="1">
      <c r="B60" s="8" t="s">
        <v>72</v>
      </c>
      <c r="C60" s="8" t="s">
        <v>331</v>
      </c>
      <c r="D60" s="9" t="s">
        <v>70</v>
      </c>
      <c r="E60" s="12" t="s">
        <v>332</v>
      </c>
      <c r="F60" s="9" t="s">
        <v>71</v>
      </c>
      <c r="G60" s="11">
        <v>3150</v>
      </c>
      <c r="H60" s="8" t="s">
        <v>25</v>
      </c>
    </row>
    <row r="61" spans="2:8" ht="22" customHeight="1">
      <c r="B61" s="8" t="s">
        <v>333</v>
      </c>
      <c r="C61" s="8" t="s">
        <v>334</v>
      </c>
      <c r="D61" s="9" t="s">
        <v>51</v>
      </c>
      <c r="E61" s="12" t="s">
        <v>288</v>
      </c>
      <c r="F61" s="9" t="s">
        <v>52</v>
      </c>
      <c r="G61" s="11">
        <v>1868.75</v>
      </c>
      <c r="H61" s="8" t="s">
        <v>25</v>
      </c>
    </row>
    <row r="62" spans="2:8" ht="22" customHeight="1">
      <c r="B62" s="8" t="s">
        <v>335</v>
      </c>
      <c r="C62" s="8" t="s">
        <v>336</v>
      </c>
      <c r="D62" s="9" t="s">
        <v>66</v>
      </c>
      <c r="E62" s="12" t="s">
        <v>337</v>
      </c>
      <c r="F62" s="9" t="s">
        <v>67</v>
      </c>
      <c r="G62" s="11">
        <v>6070</v>
      </c>
      <c r="H62" s="8" t="s">
        <v>25</v>
      </c>
    </row>
    <row r="63" spans="2:8" ht="22" customHeight="1">
      <c r="B63" s="8" t="s">
        <v>338</v>
      </c>
      <c r="C63" s="8" t="s">
        <v>336</v>
      </c>
      <c r="D63" s="9" t="s">
        <v>90</v>
      </c>
      <c r="E63" s="12" t="s">
        <v>339</v>
      </c>
      <c r="F63" s="9" t="s">
        <v>85</v>
      </c>
      <c r="G63" s="11">
        <v>1797</v>
      </c>
      <c r="H63" s="8" t="s">
        <v>25</v>
      </c>
    </row>
    <row r="64" spans="2:8" ht="22" customHeight="1">
      <c r="B64" s="8" t="s">
        <v>340</v>
      </c>
      <c r="C64" s="8" t="s">
        <v>336</v>
      </c>
      <c r="D64" s="9" t="s">
        <v>74</v>
      </c>
      <c r="E64" s="12" t="s">
        <v>341</v>
      </c>
      <c r="F64" s="9" t="s">
        <v>43</v>
      </c>
      <c r="G64" s="11">
        <v>1440</v>
      </c>
      <c r="H64" s="8" t="s">
        <v>25</v>
      </c>
    </row>
    <row r="65" spans="2:8" ht="22" customHeight="1">
      <c r="B65" s="8" t="s">
        <v>342</v>
      </c>
      <c r="C65" s="8" t="s">
        <v>343</v>
      </c>
      <c r="D65" s="9" t="s">
        <v>74</v>
      </c>
      <c r="E65" s="12" t="s">
        <v>344</v>
      </c>
      <c r="F65" s="9" t="s">
        <v>43</v>
      </c>
      <c r="G65" s="11">
        <v>2880</v>
      </c>
      <c r="H65" s="8" t="s">
        <v>25</v>
      </c>
    </row>
    <row r="66" spans="2:8" ht="22" customHeight="1">
      <c r="B66" s="8" t="s">
        <v>170</v>
      </c>
      <c r="C66" s="8" t="s">
        <v>343</v>
      </c>
      <c r="D66" s="9" t="s">
        <v>168</v>
      </c>
      <c r="E66" s="12" t="s">
        <v>345</v>
      </c>
      <c r="F66" s="9" t="s">
        <v>169</v>
      </c>
      <c r="G66" s="11">
        <v>3548.4</v>
      </c>
      <c r="H66" s="8" t="s">
        <v>25</v>
      </c>
    </row>
    <row r="67" spans="2:8" ht="22" customHeight="1">
      <c r="B67" s="8" t="s">
        <v>346</v>
      </c>
      <c r="C67" s="8" t="s">
        <v>347</v>
      </c>
      <c r="D67" s="9" t="s">
        <v>84</v>
      </c>
      <c r="E67" s="12" t="s">
        <v>227</v>
      </c>
      <c r="F67" s="9" t="s">
        <v>85</v>
      </c>
      <c r="G67" s="11">
        <v>3694.5</v>
      </c>
      <c r="H67" s="8" t="s">
        <v>25</v>
      </c>
    </row>
    <row r="68" spans="2:8" ht="22" customHeight="1">
      <c r="B68" s="8" t="s">
        <v>348</v>
      </c>
      <c r="C68" s="8" t="s">
        <v>347</v>
      </c>
      <c r="D68" s="9" t="s">
        <v>74</v>
      </c>
      <c r="E68" s="12" t="s">
        <v>344</v>
      </c>
      <c r="F68" s="9" t="s">
        <v>43</v>
      </c>
      <c r="G68" s="11">
        <v>9852</v>
      </c>
      <c r="H68" s="8" t="s">
        <v>25</v>
      </c>
    </row>
    <row r="69" spans="2:8" ht="22" customHeight="1">
      <c r="B69" s="8" t="s">
        <v>94</v>
      </c>
      <c r="C69" s="8" t="s">
        <v>349</v>
      </c>
      <c r="D69" s="9" t="s">
        <v>93</v>
      </c>
      <c r="E69" s="12" t="s">
        <v>350</v>
      </c>
      <c r="F69" s="9" t="s">
        <v>85</v>
      </c>
      <c r="G69" s="11">
        <v>1706.5</v>
      </c>
      <c r="H69" s="8" t="s">
        <v>25</v>
      </c>
    </row>
    <row r="70" spans="2:8" ht="22" customHeight="1">
      <c r="B70" s="8" t="s">
        <v>351</v>
      </c>
      <c r="C70" s="8" t="s">
        <v>352</v>
      </c>
      <c r="D70" s="9" t="s">
        <v>62</v>
      </c>
      <c r="E70" s="12" t="s">
        <v>322</v>
      </c>
      <c r="F70" s="9" t="s">
        <v>63</v>
      </c>
      <c r="G70" s="11">
        <v>196</v>
      </c>
      <c r="H70" s="8" t="s">
        <v>25</v>
      </c>
    </row>
    <row r="71" spans="2:8" ht="22" customHeight="1">
      <c r="B71" s="8" t="s">
        <v>353</v>
      </c>
      <c r="C71" s="8" t="s">
        <v>352</v>
      </c>
      <c r="D71" s="9" t="s">
        <v>46</v>
      </c>
      <c r="E71" s="12" t="s">
        <v>354</v>
      </c>
      <c r="F71" s="9" t="s">
        <v>47</v>
      </c>
      <c r="G71" s="11">
        <v>2103.5</v>
      </c>
      <c r="H71" s="8" t="s">
        <v>25</v>
      </c>
    </row>
    <row r="72" spans="2:8" ht="22" customHeight="1">
      <c r="B72" s="8" t="s">
        <v>355</v>
      </c>
      <c r="C72" s="8" t="s">
        <v>352</v>
      </c>
      <c r="D72" s="9" t="s">
        <v>80</v>
      </c>
      <c r="E72" s="12" t="s">
        <v>356</v>
      </c>
      <c r="F72" s="9" t="s">
        <v>81</v>
      </c>
      <c r="G72" s="11">
        <v>1894.5</v>
      </c>
      <c r="H72" s="8" t="s">
        <v>25</v>
      </c>
    </row>
    <row r="73" spans="2:8" ht="22" customHeight="1">
      <c r="B73" s="8" t="s">
        <v>357</v>
      </c>
      <c r="C73" s="8" t="s">
        <v>358</v>
      </c>
      <c r="D73" s="9" t="s">
        <v>118</v>
      </c>
      <c r="E73" s="12" t="s">
        <v>327</v>
      </c>
      <c r="F73" s="9" t="s">
        <v>119</v>
      </c>
      <c r="G73" s="11">
        <v>3735</v>
      </c>
      <c r="H73" s="8" t="s">
        <v>25</v>
      </c>
    </row>
    <row r="74" spans="2:8" ht="22" customHeight="1">
      <c r="B74" s="8" t="s">
        <v>359</v>
      </c>
      <c r="C74" s="8" t="s">
        <v>360</v>
      </c>
      <c r="D74" s="9" t="s">
        <v>143</v>
      </c>
      <c r="E74" s="12" t="s">
        <v>361</v>
      </c>
      <c r="F74" s="9" t="s">
        <v>57</v>
      </c>
      <c r="G74" s="11">
        <v>3000</v>
      </c>
      <c r="H74" s="8" t="s">
        <v>25</v>
      </c>
    </row>
    <row r="75" spans="2:8" ht="22" customHeight="1">
      <c r="B75" s="8" t="s">
        <v>362</v>
      </c>
      <c r="C75" s="8" t="s">
        <v>363</v>
      </c>
      <c r="D75" s="9" t="s">
        <v>90</v>
      </c>
      <c r="E75" s="12" t="s">
        <v>364</v>
      </c>
      <c r="F75" s="9" t="s">
        <v>85</v>
      </c>
      <c r="G75" s="11">
        <v>621</v>
      </c>
      <c r="H75" s="8" t="s">
        <v>25</v>
      </c>
    </row>
    <row r="76" spans="2:8" ht="22" customHeight="1">
      <c r="B76" s="8" t="s">
        <v>365</v>
      </c>
      <c r="C76" s="8" t="s">
        <v>366</v>
      </c>
      <c r="D76" s="9" t="s">
        <v>90</v>
      </c>
      <c r="E76" s="12" t="s">
        <v>364</v>
      </c>
      <c r="F76" s="9" t="s">
        <v>85</v>
      </c>
      <c r="G76" s="11">
        <v>1677.5</v>
      </c>
      <c r="H76" s="8" t="s">
        <v>25</v>
      </c>
    </row>
    <row r="77" spans="2:8" ht="22" customHeight="1">
      <c r="B77" s="8" t="s">
        <v>367</v>
      </c>
      <c r="C77" s="8" t="s">
        <v>366</v>
      </c>
      <c r="D77" s="9" t="s">
        <v>118</v>
      </c>
      <c r="E77" s="12" t="s">
        <v>368</v>
      </c>
      <c r="F77" s="9" t="s">
        <v>119</v>
      </c>
      <c r="G77" s="11">
        <v>275</v>
      </c>
      <c r="H77" s="8" t="s">
        <v>25</v>
      </c>
    </row>
    <row r="78" spans="2:8" ht="22" customHeight="1">
      <c r="B78" s="8" t="s">
        <v>369</v>
      </c>
      <c r="C78" s="8" t="s">
        <v>370</v>
      </c>
      <c r="D78" s="9" t="s">
        <v>122</v>
      </c>
      <c r="E78" s="12" t="s">
        <v>371</v>
      </c>
      <c r="F78" s="9" t="s">
        <v>97</v>
      </c>
      <c r="G78" s="11">
        <v>6400.5</v>
      </c>
      <c r="H78" s="8" t="s">
        <v>25</v>
      </c>
    </row>
    <row r="79" spans="2:8" ht="22" customHeight="1">
      <c r="B79" s="8" t="s">
        <v>372</v>
      </c>
      <c r="C79" s="8" t="s">
        <v>370</v>
      </c>
      <c r="D79" s="9" t="s">
        <v>122</v>
      </c>
      <c r="E79" s="12" t="s">
        <v>371</v>
      </c>
      <c r="F79" s="9" t="s">
        <v>97</v>
      </c>
      <c r="G79" s="11">
        <v>780</v>
      </c>
      <c r="H79" s="8" t="s">
        <v>25</v>
      </c>
    </row>
    <row r="80" spans="2:8" ht="22" customHeight="1">
      <c r="B80" s="8" t="s">
        <v>373</v>
      </c>
      <c r="C80" s="8" t="s">
        <v>374</v>
      </c>
      <c r="D80" s="9" t="s">
        <v>66</v>
      </c>
      <c r="E80" s="12" t="s">
        <v>337</v>
      </c>
      <c r="F80" s="9" t="s">
        <v>67</v>
      </c>
      <c r="G80" s="11">
        <v>1500</v>
      </c>
      <c r="H80" s="8" t="s">
        <v>25</v>
      </c>
    </row>
    <row r="81" spans="2:8" ht="22" customHeight="1">
      <c r="B81" s="8" t="s">
        <v>375</v>
      </c>
      <c r="C81" s="8" t="s">
        <v>374</v>
      </c>
      <c r="D81" s="9" t="s">
        <v>104</v>
      </c>
      <c r="E81" s="12" t="s">
        <v>376</v>
      </c>
      <c r="F81" s="9" t="s">
        <v>67</v>
      </c>
      <c r="G81" s="11">
        <v>1625</v>
      </c>
      <c r="H81" s="8" t="s">
        <v>25</v>
      </c>
    </row>
    <row r="82" spans="2:8" ht="22" customHeight="1">
      <c r="B82" s="8" t="s">
        <v>377</v>
      </c>
      <c r="C82" s="8" t="s">
        <v>374</v>
      </c>
      <c r="D82" s="9" t="s">
        <v>38</v>
      </c>
      <c r="E82" s="12" t="s">
        <v>378</v>
      </c>
      <c r="F82" s="9" t="s">
        <v>39</v>
      </c>
      <c r="G82" s="11">
        <v>1296</v>
      </c>
      <c r="H82" s="8" t="s">
        <v>25</v>
      </c>
    </row>
    <row r="83" spans="2:8" ht="22" customHeight="1">
      <c r="B83" s="8" t="s">
        <v>129</v>
      </c>
      <c r="C83" s="8" t="s">
        <v>379</v>
      </c>
      <c r="D83" s="9" t="s">
        <v>128</v>
      </c>
      <c r="E83" s="12" t="s">
        <v>380</v>
      </c>
      <c r="F83" s="9" t="s">
        <v>57</v>
      </c>
      <c r="G83" s="11">
        <v>8880</v>
      </c>
      <c r="H83" s="8" t="s">
        <v>25</v>
      </c>
    </row>
    <row r="84" spans="2:8" ht="22" customHeight="1">
      <c r="B84" s="8" t="s">
        <v>381</v>
      </c>
      <c r="C84" s="8" t="s">
        <v>382</v>
      </c>
      <c r="D84" s="9" t="s">
        <v>177</v>
      </c>
      <c r="E84" s="12" t="s">
        <v>325</v>
      </c>
      <c r="F84" s="9" t="s">
        <v>178</v>
      </c>
      <c r="G84" s="11">
        <v>2178</v>
      </c>
      <c r="H84" s="8" t="s">
        <v>25</v>
      </c>
    </row>
    <row r="85" spans="2:8" ht="22" customHeight="1">
      <c r="B85" s="8" t="s">
        <v>383</v>
      </c>
      <c r="C85" s="8" t="s">
        <v>384</v>
      </c>
      <c r="D85" s="9" t="s">
        <v>20</v>
      </c>
      <c r="E85" s="12" t="s">
        <v>385</v>
      </c>
      <c r="F85" s="9" t="s">
        <v>21</v>
      </c>
      <c r="G85" s="11">
        <v>1499</v>
      </c>
      <c r="H85" s="8" t="s">
        <v>25</v>
      </c>
    </row>
    <row r="86" spans="2:8" ht="24" customHeight="1">
      <c r="B86" s="14" t="s">
        <v>204</v>
      </c>
      <c r="C86" s="14" t="s">
        <v>9</v>
      </c>
      <c r="D86" s="14"/>
      <c r="E86" s="14"/>
      <c r="F86" s="14"/>
      <c r="G86" s="16">
        <f>SUM(G7:G85)</f>
        <v>0</v>
      </c>
      <c r="H86" s="14"/>
    </row>
  </sheetData>
  <mergeCells count="2">
    <mergeCell ref="B2:H2"/>
    <mergeCell ref="B3:H3"/>
  </mergeCells>
  <printOptions horizontalCentered="1" gridLines="1"/>
  <pageMargins left="0.25" right="0.25" top="0.4" bottom="0.4" header="0.3" footer="0.3"/>
  <pageSetup paperSize="1" fitToHeight="0" orientation="landscape"/>
  <headerFooter>
    <oddFooter>&amp;LDetalle de Facturas Emitidas - Erick Juárez&amp;C&amp;P de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F40"/>
  <sheetViews>
    <sheetView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0.7109375" customWidth="1"/>
    <col min="5" max="5" width="25.7109375" customWidth="1"/>
    <col min="6" max="6" width="18.7109375" customWidth="1"/>
  </cols>
  <sheetData>
    <row r="2" spans="2:6" ht="28" customHeight="1">
      <c r="B2" s="1" t="s">
        <v>386</v>
      </c>
      <c r="C2" s="1"/>
      <c r="D2" s="1"/>
      <c r="E2" s="1"/>
      <c r="F2" s="1"/>
    </row>
    <row r="3" spans="2:6" ht="18" customHeight="1">
      <c r="B3" s="2" t="s">
        <v>387</v>
      </c>
      <c r="C3" s="2"/>
      <c r="D3" s="2"/>
      <c r="E3" s="2"/>
      <c r="F3" s="2"/>
    </row>
    <row r="6" spans="2:6" ht="22" customHeight="1">
      <c r="B6" s="7" t="s">
        <v>388</v>
      </c>
      <c r="C6" s="7" t="s">
        <v>389</v>
      </c>
      <c r="E6" s="7" t="s">
        <v>390</v>
      </c>
      <c r="F6" s="7" t="s">
        <v>391</v>
      </c>
    </row>
    <row r="7" spans="2:6">
      <c r="B7" s="9" t="s">
        <v>74</v>
      </c>
      <c r="C7" s="11">
        <v>19205</v>
      </c>
      <c r="E7" s="9" t="s">
        <v>392</v>
      </c>
      <c r="F7" s="8">
        <v>34</v>
      </c>
    </row>
    <row r="8" spans="2:6">
      <c r="B8" s="9" t="s">
        <v>66</v>
      </c>
      <c r="C8" s="11">
        <v>18640.2</v>
      </c>
      <c r="E8" s="9" t="s">
        <v>393</v>
      </c>
      <c r="F8" s="8">
        <v>18</v>
      </c>
    </row>
    <row r="9" spans="2:6">
      <c r="B9" s="9" t="s">
        <v>122</v>
      </c>
      <c r="C9" s="11">
        <v>15031.5</v>
      </c>
    </row>
    <row r="10" spans="2:6">
      <c r="B10" s="9" t="s">
        <v>42</v>
      </c>
      <c r="C10" s="11">
        <v>12307</v>
      </c>
    </row>
    <row r="11" spans="2:6">
      <c r="B11" s="9" t="s">
        <v>90</v>
      </c>
      <c r="C11" s="11">
        <v>11768.5</v>
      </c>
      <c r="E11" s="7" t="s">
        <v>394</v>
      </c>
      <c r="F11" s="7" t="s">
        <v>395</v>
      </c>
    </row>
    <row r="12" spans="2:6">
      <c r="B12" s="9" t="s">
        <v>118</v>
      </c>
      <c r="C12" s="11">
        <v>10269</v>
      </c>
      <c r="E12" s="9" t="s">
        <v>85</v>
      </c>
      <c r="F12" s="8">
        <v>7</v>
      </c>
    </row>
    <row r="13" spans="2:6">
      <c r="B13" s="9" t="s">
        <v>38</v>
      </c>
      <c r="C13" s="11">
        <v>9006.799999999999</v>
      </c>
      <c r="E13" s="9" t="s">
        <v>111</v>
      </c>
      <c r="F13" s="8">
        <v>7</v>
      </c>
    </row>
    <row r="14" spans="2:6">
      <c r="B14" s="9" t="s">
        <v>128</v>
      </c>
      <c r="C14" s="11">
        <v>8880</v>
      </c>
      <c r="E14" s="9" t="s">
        <v>43</v>
      </c>
      <c r="F14" s="8">
        <v>5</v>
      </c>
    </row>
    <row r="15" spans="2:6">
      <c r="B15" s="9" t="s">
        <v>177</v>
      </c>
      <c r="C15" s="11">
        <v>8318</v>
      </c>
      <c r="E15" s="9" t="s">
        <v>47</v>
      </c>
      <c r="F15" s="8">
        <v>3</v>
      </c>
    </row>
    <row r="16" spans="2:6">
      <c r="B16" s="9" t="s">
        <v>143</v>
      </c>
      <c r="C16" s="11">
        <v>6654</v>
      </c>
      <c r="E16" s="9" t="s">
        <v>57</v>
      </c>
      <c r="F16" s="8">
        <v>3</v>
      </c>
    </row>
    <row r="17" spans="2:6">
      <c r="B17" s="9" t="s">
        <v>80</v>
      </c>
      <c r="C17" s="11">
        <v>6493.5</v>
      </c>
      <c r="E17" s="9" t="s">
        <v>67</v>
      </c>
      <c r="F17" s="8">
        <v>2</v>
      </c>
    </row>
    <row r="18" spans="2:6">
      <c r="B18" s="9" t="s">
        <v>46</v>
      </c>
      <c r="C18" s="11">
        <v>5987</v>
      </c>
      <c r="E18" s="9" t="s">
        <v>97</v>
      </c>
      <c r="F18" s="8">
        <v>2</v>
      </c>
    </row>
    <row r="19" spans="2:6">
      <c r="B19" s="9" t="s">
        <v>84</v>
      </c>
      <c r="C19" s="11">
        <v>5895.5</v>
      </c>
      <c r="E19" s="9" t="s">
        <v>132</v>
      </c>
      <c r="F19" s="8">
        <v>2</v>
      </c>
    </row>
    <row r="20" spans="2:6">
      <c r="B20" s="9" t="s">
        <v>59</v>
      </c>
      <c r="C20" s="11">
        <v>5715</v>
      </c>
    </row>
    <row r="21" spans="2:6">
      <c r="B21" s="9" t="s">
        <v>34</v>
      </c>
      <c r="C21" s="11">
        <v>4695.25</v>
      </c>
    </row>
    <row r="22" spans="2:6">
      <c r="B22" s="9" t="s">
        <v>104</v>
      </c>
      <c r="C22" s="11">
        <v>4393</v>
      </c>
    </row>
    <row r="23" spans="2:6">
      <c r="B23" s="9" t="s">
        <v>164</v>
      </c>
      <c r="C23" s="11">
        <v>4226</v>
      </c>
    </row>
    <row r="24" spans="2:6">
      <c r="B24" s="9" t="s">
        <v>20</v>
      </c>
      <c r="C24" s="11">
        <v>4147</v>
      </c>
    </row>
    <row r="25" spans="2:6">
      <c r="B25" s="9" t="s">
        <v>51</v>
      </c>
      <c r="C25" s="11">
        <v>3877.45</v>
      </c>
    </row>
    <row r="26" spans="2:6">
      <c r="B26" s="9" t="s">
        <v>168</v>
      </c>
      <c r="C26" s="11">
        <v>3548.4</v>
      </c>
    </row>
    <row r="27" spans="2:6">
      <c r="B27" s="9" t="s">
        <v>156</v>
      </c>
      <c r="C27" s="11">
        <v>3405</v>
      </c>
    </row>
    <row r="28" spans="2:6">
      <c r="B28" s="9" t="s">
        <v>140</v>
      </c>
      <c r="C28" s="11">
        <v>3334.5</v>
      </c>
    </row>
    <row r="29" spans="2:6">
      <c r="B29" s="9" t="s">
        <v>100</v>
      </c>
      <c r="C29" s="11">
        <v>3168</v>
      </c>
    </row>
    <row r="30" spans="2:6">
      <c r="B30" s="9" t="s">
        <v>70</v>
      </c>
      <c r="C30" s="11">
        <v>3150</v>
      </c>
    </row>
    <row r="31" spans="2:6">
      <c r="B31" s="9" t="s">
        <v>153</v>
      </c>
      <c r="C31" s="11">
        <v>2955</v>
      </c>
    </row>
    <row r="32" spans="2:6">
      <c r="B32" s="9" t="s">
        <v>62</v>
      </c>
      <c r="C32" s="11">
        <v>2581.35</v>
      </c>
    </row>
    <row r="33" spans="2:3">
      <c r="B33" s="9" t="s">
        <v>174</v>
      </c>
      <c r="C33" s="11">
        <v>2450</v>
      </c>
    </row>
    <row r="34" spans="2:3">
      <c r="B34" s="9" t="s">
        <v>125</v>
      </c>
      <c r="C34" s="11">
        <v>2340</v>
      </c>
    </row>
    <row r="35" spans="2:3">
      <c r="B35" s="9" t="s">
        <v>201</v>
      </c>
      <c r="C35" s="11">
        <v>2320</v>
      </c>
    </row>
    <row r="36" spans="2:3">
      <c r="B36" s="9" t="s">
        <v>93</v>
      </c>
      <c r="C36" s="11">
        <v>1706.5</v>
      </c>
    </row>
    <row r="37" spans="2:3">
      <c r="B37" s="9" t="s">
        <v>113</v>
      </c>
      <c r="C37" s="11">
        <v>1704</v>
      </c>
    </row>
    <row r="38" spans="2:3">
      <c r="B38" s="9" t="s">
        <v>96</v>
      </c>
      <c r="C38" s="11">
        <v>1456</v>
      </c>
    </row>
    <row r="39" spans="2:3">
      <c r="B39" s="9" t="s">
        <v>147</v>
      </c>
      <c r="C39" s="11">
        <v>1158</v>
      </c>
    </row>
    <row r="40" spans="2:3">
      <c r="B40" s="9" t="s">
        <v>194</v>
      </c>
      <c r="C40" s="11">
        <v>1047.5</v>
      </c>
    </row>
  </sheetData>
  <mergeCells count="2">
    <mergeCell ref="B2:F2"/>
    <mergeCell ref="B3:F3"/>
  </mergeCells>
  <printOptions horizontalCentered="1" gridLines="1"/>
  <pageMargins left="0.4" right="0.4" top="0.4" bottom="0.4" header="0.3" footer="0.3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Conciliación y Auditoría</vt:lpstr>
      <vt:lpstr>Detalle Facturas</vt:lpstr>
      <vt:lpstr>Analitica y Graficas</vt:lpstr>
      <vt:lpstr>'Conciliación y Auditoría'!Print_Area</vt:lpstr>
      <vt:lpstr>'Detalle Facturas'!Print_Area</vt:lpstr>
      <vt:lpstr>'Conciliación y Auditoría'!Print_Titles</vt:lpstr>
      <vt:lpstr>'Detalle Facturas'!Print_Titles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2026-09-20T23:58:42Z</dcterms:created>
  <dcterms:modified xsi:type="dcterms:W3CDTF">2026-09-20T23:58:42Z</dcterms:modified>
</cp:coreProperties>
</file>